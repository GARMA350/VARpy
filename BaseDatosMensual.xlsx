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21168\Desktop\modelo_expectativas\SVAR\Datos\"/>
    </mc:Choice>
  </mc:AlternateContent>
  <xr:revisionPtr revIDLastSave="0" documentId="13_ncr:1_{3387CC20-B41E-4D60-B95E-CD12C5FCCC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Hoja1" sheetId="2" r:id="rId2"/>
  </sheets>
  <definedNames>
    <definedName name="_xlnm._FilterDatabase" localSheetId="1" hidden="1">Hoja1!$A$1:$F$330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" i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" i="2"/>
  <c r="D5" i="2"/>
  <c r="D36" i="2"/>
  <c r="D92" i="2"/>
  <c r="D176" i="2"/>
  <c r="D185" i="2"/>
  <c r="D187" i="2"/>
  <c r="D260" i="2"/>
  <c r="D274" i="2"/>
  <c r="D313" i="2"/>
  <c r="C4" i="2"/>
  <c r="D4" i="2" s="1"/>
  <c r="C5" i="2"/>
  <c r="C6" i="2"/>
  <c r="D6" i="2" s="1"/>
  <c r="C7" i="2"/>
  <c r="D7" i="2" s="1"/>
  <c r="C8" i="2"/>
  <c r="D8" i="2" s="1"/>
  <c r="C9" i="2"/>
  <c r="D9" i="2" s="1"/>
  <c r="C10" i="2"/>
  <c r="D10" i="2" s="1"/>
  <c r="C11" i="2"/>
  <c r="D11" i="2" s="1"/>
  <c r="C12" i="2"/>
  <c r="D12" i="2" s="1"/>
  <c r="C13" i="2"/>
  <c r="D13" i="2" s="1"/>
  <c r="C14" i="2"/>
  <c r="D14" i="2" s="1"/>
  <c r="C15" i="2"/>
  <c r="D15" i="2" s="1"/>
  <c r="C16" i="2"/>
  <c r="D16" i="2" s="1"/>
  <c r="C17" i="2"/>
  <c r="D17" i="2" s="1"/>
  <c r="C18" i="2"/>
  <c r="D18" i="2" s="1"/>
  <c r="C19" i="2"/>
  <c r="D19" i="2" s="1"/>
  <c r="C20" i="2"/>
  <c r="D20" i="2" s="1"/>
  <c r="C21" i="2"/>
  <c r="D21" i="2" s="1"/>
  <c r="C22" i="2"/>
  <c r="D22" i="2" s="1"/>
  <c r="C23" i="2"/>
  <c r="D23" i="2" s="1"/>
  <c r="C24" i="2"/>
  <c r="D24" i="2" s="1"/>
  <c r="C25" i="2"/>
  <c r="D25" i="2" s="1"/>
  <c r="C26" i="2"/>
  <c r="D26" i="2" s="1"/>
  <c r="C27" i="2"/>
  <c r="D27" i="2" s="1"/>
  <c r="C28" i="2"/>
  <c r="D28" i="2" s="1"/>
  <c r="C29" i="2"/>
  <c r="D29" i="2" s="1"/>
  <c r="C30" i="2"/>
  <c r="D30" i="2" s="1"/>
  <c r="C31" i="2"/>
  <c r="D31" i="2" s="1"/>
  <c r="C32" i="2"/>
  <c r="D32" i="2" s="1"/>
  <c r="C33" i="2"/>
  <c r="D33" i="2" s="1"/>
  <c r="C34" i="2"/>
  <c r="D34" i="2" s="1"/>
  <c r="C35" i="2"/>
  <c r="D35" i="2" s="1"/>
  <c r="C36" i="2"/>
  <c r="C37" i="2"/>
  <c r="D37" i="2" s="1"/>
  <c r="C38" i="2"/>
  <c r="D38" i="2" s="1"/>
  <c r="C39" i="2"/>
  <c r="D39" i="2" s="1"/>
  <c r="C40" i="2"/>
  <c r="D40" i="2" s="1"/>
  <c r="C41" i="2"/>
  <c r="D41" i="2" s="1"/>
  <c r="C42" i="2"/>
  <c r="D42" i="2" s="1"/>
  <c r="C43" i="2"/>
  <c r="D43" i="2" s="1"/>
  <c r="C44" i="2"/>
  <c r="D44" i="2" s="1"/>
  <c r="C45" i="2"/>
  <c r="D45" i="2" s="1"/>
  <c r="C46" i="2"/>
  <c r="D46" i="2" s="1"/>
  <c r="C47" i="2"/>
  <c r="D47" i="2" s="1"/>
  <c r="C48" i="2"/>
  <c r="D48" i="2" s="1"/>
  <c r="C49" i="2"/>
  <c r="D49" i="2" s="1"/>
  <c r="C50" i="2"/>
  <c r="D50" i="2" s="1"/>
  <c r="C51" i="2"/>
  <c r="D51" i="2" s="1"/>
  <c r="C52" i="2"/>
  <c r="D52" i="2" s="1"/>
  <c r="C53" i="2"/>
  <c r="D53" i="2" s="1"/>
  <c r="C54" i="2"/>
  <c r="D54" i="2" s="1"/>
  <c r="C55" i="2"/>
  <c r="D55" i="2" s="1"/>
  <c r="C56" i="2"/>
  <c r="D56" i="2" s="1"/>
  <c r="C57" i="2"/>
  <c r="D57" i="2" s="1"/>
  <c r="C58" i="2"/>
  <c r="D58" i="2" s="1"/>
  <c r="C59" i="2"/>
  <c r="D59" i="2" s="1"/>
  <c r="C60" i="2"/>
  <c r="D60" i="2" s="1"/>
  <c r="C61" i="2"/>
  <c r="D61" i="2" s="1"/>
  <c r="C62" i="2"/>
  <c r="D62" i="2" s="1"/>
  <c r="C63" i="2"/>
  <c r="D63" i="2" s="1"/>
  <c r="C64" i="2"/>
  <c r="D64" i="2" s="1"/>
  <c r="C65" i="2"/>
  <c r="D65" i="2" s="1"/>
  <c r="C66" i="2"/>
  <c r="D66" i="2" s="1"/>
  <c r="C67" i="2"/>
  <c r="D67" i="2" s="1"/>
  <c r="C68" i="2"/>
  <c r="D68" i="2" s="1"/>
  <c r="C69" i="2"/>
  <c r="D69" i="2" s="1"/>
  <c r="C70" i="2"/>
  <c r="D70" i="2" s="1"/>
  <c r="C71" i="2"/>
  <c r="D71" i="2" s="1"/>
  <c r="C72" i="2"/>
  <c r="D72" i="2" s="1"/>
  <c r="C73" i="2"/>
  <c r="D73" i="2" s="1"/>
  <c r="C74" i="2"/>
  <c r="D74" i="2" s="1"/>
  <c r="C75" i="2"/>
  <c r="D75" i="2" s="1"/>
  <c r="C76" i="2"/>
  <c r="D76" i="2" s="1"/>
  <c r="C77" i="2"/>
  <c r="D77" i="2" s="1"/>
  <c r="C78" i="2"/>
  <c r="D78" i="2" s="1"/>
  <c r="C79" i="2"/>
  <c r="D79" i="2" s="1"/>
  <c r="C80" i="2"/>
  <c r="D80" i="2" s="1"/>
  <c r="C81" i="2"/>
  <c r="D81" i="2" s="1"/>
  <c r="C82" i="2"/>
  <c r="D82" i="2" s="1"/>
  <c r="C83" i="2"/>
  <c r="D83" i="2" s="1"/>
  <c r="C84" i="2"/>
  <c r="D84" i="2" s="1"/>
  <c r="C85" i="2"/>
  <c r="D85" i="2" s="1"/>
  <c r="C86" i="2"/>
  <c r="D86" i="2" s="1"/>
  <c r="C87" i="2"/>
  <c r="D87" i="2" s="1"/>
  <c r="C88" i="2"/>
  <c r="D88" i="2" s="1"/>
  <c r="C89" i="2"/>
  <c r="D89" i="2" s="1"/>
  <c r="C90" i="2"/>
  <c r="D90" i="2" s="1"/>
  <c r="C91" i="2"/>
  <c r="D91" i="2" s="1"/>
  <c r="C92" i="2"/>
  <c r="C93" i="2"/>
  <c r="D93" i="2" s="1"/>
  <c r="C94" i="2"/>
  <c r="D94" i="2" s="1"/>
  <c r="C95" i="2"/>
  <c r="D95" i="2" s="1"/>
  <c r="C96" i="2"/>
  <c r="D96" i="2" s="1"/>
  <c r="C97" i="2"/>
  <c r="D97" i="2" s="1"/>
  <c r="C98" i="2"/>
  <c r="D98" i="2" s="1"/>
  <c r="C99" i="2"/>
  <c r="D99" i="2" s="1"/>
  <c r="C100" i="2"/>
  <c r="D100" i="2" s="1"/>
  <c r="C101" i="2"/>
  <c r="D101" i="2" s="1"/>
  <c r="C102" i="2"/>
  <c r="D102" i="2" s="1"/>
  <c r="C103" i="2"/>
  <c r="D103" i="2" s="1"/>
  <c r="C104" i="2"/>
  <c r="D104" i="2" s="1"/>
  <c r="C105" i="2"/>
  <c r="D105" i="2" s="1"/>
  <c r="C106" i="2"/>
  <c r="D106" i="2" s="1"/>
  <c r="C107" i="2"/>
  <c r="D107" i="2" s="1"/>
  <c r="C108" i="2"/>
  <c r="D108" i="2" s="1"/>
  <c r="C109" i="2"/>
  <c r="D109" i="2" s="1"/>
  <c r="C110" i="2"/>
  <c r="D110" i="2" s="1"/>
  <c r="C111" i="2"/>
  <c r="D111" i="2" s="1"/>
  <c r="C112" i="2"/>
  <c r="D112" i="2" s="1"/>
  <c r="C113" i="2"/>
  <c r="D113" i="2" s="1"/>
  <c r="C114" i="2"/>
  <c r="D114" i="2" s="1"/>
  <c r="C115" i="2"/>
  <c r="D115" i="2" s="1"/>
  <c r="C116" i="2"/>
  <c r="D116" i="2" s="1"/>
  <c r="C117" i="2"/>
  <c r="D117" i="2" s="1"/>
  <c r="C118" i="2"/>
  <c r="D118" i="2" s="1"/>
  <c r="C119" i="2"/>
  <c r="D119" i="2" s="1"/>
  <c r="C120" i="2"/>
  <c r="D120" i="2" s="1"/>
  <c r="C121" i="2"/>
  <c r="D121" i="2" s="1"/>
  <c r="C122" i="2"/>
  <c r="D122" i="2" s="1"/>
  <c r="C123" i="2"/>
  <c r="D123" i="2" s="1"/>
  <c r="C124" i="2"/>
  <c r="D124" i="2" s="1"/>
  <c r="C125" i="2"/>
  <c r="D125" i="2" s="1"/>
  <c r="C126" i="2"/>
  <c r="D126" i="2" s="1"/>
  <c r="C127" i="2"/>
  <c r="D127" i="2" s="1"/>
  <c r="C128" i="2"/>
  <c r="D128" i="2" s="1"/>
  <c r="C129" i="2"/>
  <c r="D129" i="2" s="1"/>
  <c r="C130" i="2"/>
  <c r="D130" i="2" s="1"/>
  <c r="C131" i="2"/>
  <c r="D131" i="2" s="1"/>
  <c r="C132" i="2"/>
  <c r="D132" i="2" s="1"/>
  <c r="C133" i="2"/>
  <c r="D133" i="2" s="1"/>
  <c r="C134" i="2"/>
  <c r="D134" i="2" s="1"/>
  <c r="C135" i="2"/>
  <c r="D135" i="2" s="1"/>
  <c r="C136" i="2"/>
  <c r="D136" i="2" s="1"/>
  <c r="C137" i="2"/>
  <c r="D137" i="2" s="1"/>
  <c r="C138" i="2"/>
  <c r="D138" i="2" s="1"/>
  <c r="C139" i="2"/>
  <c r="D139" i="2" s="1"/>
  <c r="C140" i="2"/>
  <c r="D140" i="2" s="1"/>
  <c r="C141" i="2"/>
  <c r="D141" i="2" s="1"/>
  <c r="C142" i="2"/>
  <c r="D142" i="2" s="1"/>
  <c r="C143" i="2"/>
  <c r="D143" i="2" s="1"/>
  <c r="C144" i="2"/>
  <c r="D144" i="2" s="1"/>
  <c r="C145" i="2"/>
  <c r="D145" i="2" s="1"/>
  <c r="C146" i="2"/>
  <c r="D146" i="2" s="1"/>
  <c r="C147" i="2"/>
  <c r="D147" i="2" s="1"/>
  <c r="C148" i="2"/>
  <c r="D148" i="2" s="1"/>
  <c r="C149" i="2"/>
  <c r="D149" i="2" s="1"/>
  <c r="C150" i="2"/>
  <c r="D150" i="2" s="1"/>
  <c r="C151" i="2"/>
  <c r="D151" i="2" s="1"/>
  <c r="C152" i="2"/>
  <c r="D152" i="2" s="1"/>
  <c r="C153" i="2"/>
  <c r="D153" i="2" s="1"/>
  <c r="C154" i="2"/>
  <c r="D154" i="2" s="1"/>
  <c r="C155" i="2"/>
  <c r="D155" i="2" s="1"/>
  <c r="C156" i="2"/>
  <c r="D156" i="2" s="1"/>
  <c r="C157" i="2"/>
  <c r="D157" i="2" s="1"/>
  <c r="C158" i="2"/>
  <c r="D158" i="2" s="1"/>
  <c r="C159" i="2"/>
  <c r="D159" i="2" s="1"/>
  <c r="C160" i="2"/>
  <c r="D160" i="2" s="1"/>
  <c r="C161" i="2"/>
  <c r="D161" i="2" s="1"/>
  <c r="C162" i="2"/>
  <c r="D162" i="2" s="1"/>
  <c r="C163" i="2"/>
  <c r="D163" i="2" s="1"/>
  <c r="C164" i="2"/>
  <c r="D164" i="2" s="1"/>
  <c r="C165" i="2"/>
  <c r="D165" i="2" s="1"/>
  <c r="C166" i="2"/>
  <c r="D166" i="2" s="1"/>
  <c r="C167" i="2"/>
  <c r="D167" i="2" s="1"/>
  <c r="C168" i="2"/>
  <c r="D168" i="2" s="1"/>
  <c r="C169" i="2"/>
  <c r="D169" i="2" s="1"/>
  <c r="C170" i="2"/>
  <c r="D170" i="2" s="1"/>
  <c r="C171" i="2"/>
  <c r="D171" i="2" s="1"/>
  <c r="C172" i="2"/>
  <c r="D172" i="2" s="1"/>
  <c r="C173" i="2"/>
  <c r="D173" i="2" s="1"/>
  <c r="C174" i="2"/>
  <c r="D174" i="2" s="1"/>
  <c r="C175" i="2"/>
  <c r="D175" i="2" s="1"/>
  <c r="C176" i="2"/>
  <c r="C177" i="2"/>
  <c r="D177" i="2" s="1"/>
  <c r="C178" i="2"/>
  <c r="D178" i="2" s="1"/>
  <c r="C179" i="2"/>
  <c r="D179" i="2" s="1"/>
  <c r="C180" i="2"/>
  <c r="D180" i="2" s="1"/>
  <c r="C181" i="2"/>
  <c r="D181" i="2" s="1"/>
  <c r="C182" i="2"/>
  <c r="D182" i="2" s="1"/>
  <c r="C183" i="2"/>
  <c r="D183" i="2" s="1"/>
  <c r="C184" i="2"/>
  <c r="D184" i="2" s="1"/>
  <c r="C185" i="2"/>
  <c r="C186" i="2"/>
  <c r="D186" i="2" s="1"/>
  <c r="C187" i="2"/>
  <c r="C188" i="2"/>
  <c r="D188" i="2" s="1"/>
  <c r="C189" i="2"/>
  <c r="D189" i="2" s="1"/>
  <c r="C190" i="2"/>
  <c r="D190" i="2" s="1"/>
  <c r="C191" i="2"/>
  <c r="D191" i="2" s="1"/>
  <c r="C192" i="2"/>
  <c r="D192" i="2" s="1"/>
  <c r="C193" i="2"/>
  <c r="D193" i="2" s="1"/>
  <c r="C194" i="2"/>
  <c r="D194" i="2" s="1"/>
  <c r="C195" i="2"/>
  <c r="D195" i="2" s="1"/>
  <c r="C196" i="2"/>
  <c r="D196" i="2" s="1"/>
  <c r="C197" i="2"/>
  <c r="D197" i="2" s="1"/>
  <c r="C198" i="2"/>
  <c r="D198" i="2" s="1"/>
  <c r="C199" i="2"/>
  <c r="D199" i="2" s="1"/>
  <c r="C200" i="2"/>
  <c r="D200" i="2" s="1"/>
  <c r="C201" i="2"/>
  <c r="D201" i="2" s="1"/>
  <c r="C202" i="2"/>
  <c r="D202" i="2" s="1"/>
  <c r="C203" i="2"/>
  <c r="D203" i="2" s="1"/>
  <c r="C204" i="2"/>
  <c r="D204" i="2" s="1"/>
  <c r="C205" i="2"/>
  <c r="D205" i="2" s="1"/>
  <c r="C206" i="2"/>
  <c r="D206" i="2" s="1"/>
  <c r="C207" i="2"/>
  <c r="D207" i="2" s="1"/>
  <c r="C208" i="2"/>
  <c r="D208" i="2" s="1"/>
  <c r="C209" i="2"/>
  <c r="D209" i="2" s="1"/>
  <c r="C210" i="2"/>
  <c r="D210" i="2" s="1"/>
  <c r="C211" i="2"/>
  <c r="D211" i="2" s="1"/>
  <c r="C212" i="2"/>
  <c r="D212" i="2" s="1"/>
  <c r="C213" i="2"/>
  <c r="D213" i="2" s="1"/>
  <c r="C214" i="2"/>
  <c r="D214" i="2" s="1"/>
  <c r="C215" i="2"/>
  <c r="D215" i="2" s="1"/>
  <c r="C216" i="2"/>
  <c r="D216" i="2" s="1"/>
  <c r="C217" i="2"/>
  <c r="D217" i="2" s="1"/>
  <c r="C218" i="2"/>
  <c r="D218" i="2" s="1"/>
  <c r="C219" i="2"/>
  <c r="D219" i="2" s="1"/>
  <c r="C220" i="2"/>
  <c r="D220" i="2" s="1"/>
  <c r="C221" i="2"/>
  <c r="D221" i="2" s="1"/>
  <c r="C222" i="2"/>
  <c r="D222" i="2" s="1"/>
  <c r="C223" i="2"/>
  <c r="D223" i="2" s="1"/>
  <c r="C224" i="2"/>
  <c r="D224" i="2" s="1"/>
  <c r="C225" i="2"/>
  <c r="D225" i="2" s="1"/>
  <c r="C226" i="2"/>
  <c r="D226" i="2" s="1"/>
  <c r="C227" i="2"/>
  <c r="D227" i="2" s="1"/>
  <c r="C228" i="2"/>
  <c r="D228" i="2" s="1"/>
  <c r="C229" i="2"/>
  <c r="D229" i="2" s="1"/>
  <c r="C230" i="2"/>
  <c r="D230" i="2" s="1"/>
  <c r="C231" i="2"/>
  <c r="D231" i="2" s="1"/>
  <c r="C232" i="2"/>
  <c r="D232" i="2" s="1"/>
  <c r="C233" i="2"/>
  <c r="D233" i="2" s="1"/>
  <c r="C234" i="2"/>
  <c r="D234" i="2" s="1"/>
  <c r="C235" i="2"/>
  <c r="D235" i="2" s="1"/>
  <c r="C236" i="2"/>
  <c r="D236" i="2" s="1"/>
  <c r="C237" i="2"/>
  <c r="D237" i="2" s="1"/>
  <c r="C238" i="2"/>
  <c r="D238" i="2" s="1"/>
  <c r="C239" i="2"/>
  <c r="D239" i="2" s="1"/>
  <c r="C240" i="2"/>
  <c r="D240" i="2" s="1"/>
  <c r="C241" i="2"/>
  <c r="D241" i="2" s="1"/>
  <c r="C242" i="2"/>
  <c r="D242" i="2" s="1"/>
  <c r="C243" i="2"/>
  <c r="D243" i="2" s="1"/>
  <c r="C244" i="2"/>
  <c r="D244" i="2" s="1"/>
  <c r="C245" i="2"/>
  <c r="D245" i="2" s="1"/>
  <c r="C246" i="2"/>
  <c r="D246" i="2" s="1"/>
  <c r="C247" i="2"/>
  <c r="D247" i="2" s="1"/>
  <c r="C248" i="2"/>
  <c r="D248" i="2" s="1"/>
  <c r="C249" i="2"/>
  <c r="D249" i="2" s="1"/>
  <c r="C250" i="2"/>
  <c r="D250" i="2" s="1"/>
  <c r="C251" i="2"/>
  <c r="D251" i="2" s="1"/>
  <c r="C252" i="2"/>
  <c r="D252" i="2" s="1"/>
  <c r="C253" i="2"/>
  <c r="D253" i="2" s="1"/>
  <c r="C254" i="2"/>
  <c r="D254" i="2" s="1"/>
  <c r="C255" i="2"/>
  <c r="D255" i="2" s="1"/>
  <c r="C256" i="2"/>
  <c r="D256" i="2" s="1"/>
  <c r="C257" i="2"/>
  <c r="D257" i="2" s="1"/>
  <c r="C258" i="2"/>
  <c r="D258" i="2" s="1"/>
  <c r="C259" i="2"/>
  <c r="D259" i="2" s="1"/>
  <c r="C260" i="2"/>
  <c r="C261" i="2"/>
  <c r="D261" i="2" s="1"/>
  <c r="C262" i="2"/>
  <c r="D262" i="2" s="1"/>
  <c r="C263" i="2"/>
  <c r="D263" i="2" s="1"/>
  <c r="C264" i="2"/>
  <c r="D264" i="2" s="1"/>
  <c r="C265" i="2"/>
  <c r="D265" i="2" s="1"/>
  <c r="C266" i="2"/>
  <c r="D266" i="2" s="1"/>
  <c r="C267" i="2"/>
  <c r="D267" i="2" s="1"/>
  <c r="C268" i="2"/>
  <c r="D268" i="2" s="1"/>
  <c r="C269" i="2"/>
  <c r="D269" i="2" s="1"/>
  <c r="C270" i="2"/>
  <c r="D270" i="2" s="1"/>
  <c r="C271" i="2"/>
  <c r="D271" i="2" s="1"/>
  <c r="C272" i="2"/>
  <c r="D272" i="2" s="1"/>
  <c r="C273" i="2"/>
  <c r="D273" i="2" s="1"/>
  <c r="C274" i="2"/>
  <c r="C275" i="2"/>
  <c r="D275" i="2" s="1"/>
  <c r="C276" i="2"/>
  <c r="D276" i="2" s="1"/>
  <c r="C277" i="2"/>
  <c r="D277" i="2" s="1"/>
  <c r="C278" i="2"/>
  <c r="D278" i="2" s="1"/>
  <c r="C279" i="2"/>
  <c r="D279" i="2" s="1"/>
  <c r="C280" i="2"/>
  <c r="D280" i="2" s="1"/>
  <c r="C281" i="2"/>
  <c r="D281" i="2" s="1"/>
  <c r="C282" i="2"/>
  <c r="D282" i="2" s="1"/>
  <c r="C283" i="2"/>
  <c r="D283" i="2" s="1"/>
  <c r="C284" i="2"/>
  <c r="D284" i="2" s="1"/>
  <c r="C285" i="2"/>
  <c r="D285" i="2" s="1"/>
  <c r="C286" i="2"/>
  <c r="D286" i="2" s="1"/>
  <c r="C287" i="2"/>
  <c r="D287" i="2" s="1"/>
  <c r="C288" i="2"/>
  <c r="D288" i="2" s="1"/>
  <c r="C289" i="2"/>
  <c r="D289" i="2" s="1"/>
  <c r="C290" i="2"/>
  <c r="D290" i="2" s="1"/>
  <c r="C291" i="2"/>
  <c r="D291" i="2" s="1"/>
  <c r="C292" i="2"/>
  <c r="D292" i="2" s="1"/>
  <c r="C293" i="2"/>
  <c r="D293" i="2" s="1"/>
  <c r="C294" i="2"/>
  <c r="D294" i="2" s="1"/>
  <c r="C295" i="2"/>
  <c r="D295" i="2" s="1"/>
  <c r="C296" i="2"/>
  <c r="D296" i="2" s="1"/>
  <c r="C297" i="2"/>
  <c r="D297" i="2" s="1"/>
  <c r="C298" i="2"/>
  <c r="D298" i="2" s="1"/>
  <c r="C299" i="2"/>
  <c r="D299" i="2" s="1"/>
  <c r="C300" i="2"/>
  <c r="D300" i="2" s="1"/>
  <c r="C301" i="2"/>
  <c r="D301" i="2" s="1"/>
  <c r="C302" i="2"/>
  <c r="D302" i="2" s="1"/>
  <c r="C303" i="2"/>
  <c r="D303" i="2" s="1"/>
  <c r="C304" i="2"/>
  <c r="D304" i="2" s="1"/>
  <c r="C305" i="2"/>
  <c r="D305" i="2" s="1"/>
  <c r="C306" i="2"/>
  <c r="D306" i="2" s="1"/>
  <c r="C307" i="2"/>
  <c r="D307" i="2" s="1"/>
  <c r="C308" i="2"/>
  <c r="D308" i="2" s="1"/>
  <c r="C309" i="2"/>
  <c r="D309" i="2" s="1"/>
  <c r="C310" i="2"/>
  <c r="D310" i="2" s="1"/>
  <c r="C311" i="2"/>
  <c r="D311" i="2" s="1"/>
  <c r="C312" i="2"/>
  <c r="D312" i="2" s="1"/>
  <c r="C313" i="2"/>
  <c r="C314" i="2"/>
  <c r="D314" i="2" s="1"/>
  <c r="C315" i="2"/>
  <c r="D315" i="2" s="1"/>
  <c r="C316" i="2"/>
  <c r="D316" i="2" s="1"/>
  <c r="C317" i="2"/>
  <c r="D317" i="2" s="1"/>
  <c r="C318" i="2"/>
  <c r="D318" i="2" s="1"/>
  <c r="C319" i="2"/>
  <c r="D319" i="2" s="1"/>
  <c r="C320" i="2"/>
  <c r="D320" i="2" s="1"/>
  <c r="C321" i="2"/>
  <c r="D321" i="2" s="1"/>
  <c r="C322" i="2"/>
  <c r="D322" i="2" s="1"/>
  <c r="C323" i="2"/>
  <c r="D323" i="2" s="1"/>
  <c r="C324" i="2"/>
  <c r="D324" i="2" s="1"/>
  <c r="C325" i="2"/>
  <c r="D325" i="2" s="1"/>
  <c r="C326" i="2"/>
  <c r="D326" i="2" s="1"/>
  <c r="C327" i="2"/>
  <c r="D327" i="2" s="1"/>
  <c r="C328" i="2"/>
  <c r="D328" i="2" s="1"/>
  <c r="C329" i="2"/>
  <c r="D329" i="2" s="1"/>
  <c r="C330" i="2"/>
  <c r="D330" i="2" s="1"/>
  <c r="C3" i="2"/>
  <c r="D3" i="2" s="1"/>
  <c r="T4" i="1" l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" i="1"/>
  <c r="M133" i="1"/>
  <c r="M72" i="1"/>
  <c r="L74" i="1"/>
  <c r="L265" i="1"/>
  <c r="K265" i="1"/>
  <c r="L277" i="1"/>
  <c r="K277" i="1"/>
  <c r="R323" i="1"/>
  <c r="V323" i="1" s="1"/>
  <c r="W323" i="1" s="1"/>
  <c r="L325" i="1"/>
  <c r="K325" i="1"/>
  <c r="L313" i="1"/>
  <c r="K313" i="1"/>
  <c r="L301" i="1"/>
  <c r="K301" i="1"/>
  <c r="L289" i="1"/>
  <c r="K289" i="1"/>
</calcChain>
</file>

<file path=xl/sharedStrings.xml><?xml version="1.0" encoding="utf-8"?>
<sst xmlns="http://schemas.openxmlformats.org/spreadsheetml/2006/main" count="37" uniqueCount="32">
  <si>
    <t>Fecha</t>
  </si>
  <si>
    <t>igae</t>
  </si>
  <si>
    <t>inpc_g</t>
  </si>
  <si>
    <t>inpc_s</t>
  </si>
  <si>
    <t>inf_g</t>
  </si>
  <si>
    <t>inf_s</t>
  </si>
  <si>
    <t>exp12_g</t>
  </si>
  <si>
    <t>exp12_s</t>
  </si>
  <si>
    <t>exp4_g</t>
  </si>
  <si>
    <t>exp4_s</t>
  </si>
  <si>
    <t>exp8_g</t>
  </si>
  <si>
    <t>exp8_s</t>
  </si>
  <si>
    <t>tcn</t>
  </si>
  <si>
    <t>cpi_eu</t>
  </si>
  <si>
    <t>ln_tcn</t>
  </si>
  <si>
    <t>ln_inpc_g</t>
  </si>
  <si>
    <t>ln_cpi_eu</t>
  </si>
  <si>
    <t>ln_tcr</t>
  </si>
  <si>
    <t>mps</t>
  </si>
  <si>
    <t>mps2</t>
  </si>
  <si>
    <t>diff_ln_tcn</t>
  </si>
  <si>
    <t>tasa</t>
  </si>
  <si>
    <t>cpi</t>
  </si>
  <si>
    <t>ipi</t>
  </si>
  <si>
    <t>ffr</t>
  </si>
  <si>
    <t>srf</t>
  </si>
  <si>
    <t>exp_merc</t>
  </si>
  <si>
    <t>mps3</t>
  </si>
  <si>
    <t>brecha</t>
  </si>
  <si>
    <t>mps4</t>
  </si>
  <si>
    <t>diff_log_igae</t>
  </si>
  <si>
    <t>mps5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</si>
</sst>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30"/>
  <sheetViews>
    <sheetView tabSelected="1" topLeftCell="F304" workbookViewId="0">
      <selection activeCell="AG331" sqref="AG331"/>
    </sheetView>
  </sheetViews>
  <sheetFormatPr baseColWidth="10" defaultColWidth="9.140625" defaultRowHeight="15" x14ac:dyDescent="0.25"/>
  <cols>
    <col min="1" max="1" width="23.140625" customWidth="1"/>
    <col min="3" max="3" width="14.5703125" customWidth="1"/>
    <col min="4" max="4" width="11.42578125" customWidth="1"/>
    <col min="20" max="20" width="14.5703125" customWidth="1"/>
    <col min="30" max="30" width="12.85546875" customWidth="1"/>
  </cols>
  <sheetData>
    <row r="1" spans="1:33" x14ac:dyDescent="0.25">
      <c r="A1" t="s">
        <v>0</v>
      </c>
      <c r="B1" t="s">
        <v>1</v>
      </c>
      <c r="C1" t="s">
        <v>30</v>
      </c>
      <c r="D1" t="s">
        <v>29</v>
      </c>
      <c r="E1" t="s">
        <v>28</v>
      </c>
      <c r="F1" t="s">
        <v>2</v>
      </c>
      <c r="G1" t="s">
        <v>3</v>
      </c>
      <c r="H1" t="s">
        <v>4</v>
      </c>
      <c r="I1" t="s">
        <v>5</v>
      </c>
      <c r="J1" t="s">
        <v>21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20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23</v>
      </c>
      <c r="AA1" t="s">
        <v>22</v>
      </c>
      <c r="AB1" t="s">
        <v>24</v>
      </c>
      <c r="AC1" t="s">
        <v>25</v>
      </c>
      <c r="AD1" t="s">
        <v>26</v>
      </c>
      <c r="AE1" t="s">
        <v>27</v>
      </c>
      <c r="AF1" t="s">
        <v>29</v>
      </c>
      <c r="AG1" t="s">
        <v>31</v>
      </c>
    </row>
    <row r="2" spans="1:33" x14ac:dyDescent="0.25">
      <c r="A2" s="1">
        <v>36161</v>
      </c>
      <c r="B2">
        <v>69.540400000000005</v>
      </c>
      <c r="E2">
        <v>-1.1250488999869499E-2</v>
      </c>
      <c r="F2">
        <v>40.469769999999997</v>
      </c>
      <c r="G2">
        <v>43.271574999999999</v>
      </c>
      <c r="H2">
        <v>19.02</v>
      </c>
      <c r="I2">
        <v>18.010000000000002</v>
      </c>
      <c r="J2">
        <v>32.130000000000003</v>
      </c>
      <c r="K2">
        <v>16.07</v>
      </c>
      <c r="Q2">
        <v>10.1351</v>
      </c>
      <c r="R2">
        <v>164.7</v>
      </c>
      <c r="S2">
        <v>2.3160046466535111</v>
      </c>
      <c r="U2">
        <v>3.7005552756494851</v>
      </c>
      <c r="V2">
        <v>5.1041256371835946</v>
      </c>
      <c r="W2">
        <v>3.7195750081876211</v>
      </c>
      <c r="X2">
        <v>0</v>
      </c>
      <c r="Z2">
        <v>87.494900000000001</v>
      </c>
      <c r="AA2">
        <v>1.6666666666666596</v>
      </c>
      <c r="AB2">
        <v>4.63</v>
      </c>
      <c r="AC2">
        <v>4.7586639210000001</v>
      </c>
      <c r="AE2">
        <v>0</v>
      </c>
    </row>
    <row r="3" spans="1:33" x14ac:dyDescent="0.25">
      <c r="A3" s="1">
        <v>36192</v>
      </c>
      <c r="B3">
        <v>69.443700000000007</v>
      </c>
      <c r="C3">
        <f>B3-B2</f>
        <v>-9.6699999999998454E-2</v>
      </c>
      <c r="E3">
        <v>-1.46125251264255E-2</v>
      </c>
      <c r="F3">
        <v>41.013643000000002</v>
      </c>
      <c r="G3">
        <v>44.062772000000002</v>
      </c>
      <c r="H3">
        <v>18.54</v>
      </c>
      <c r="I3">
        <v>17.89</v>
      </c>
      <c r="J3">
        <v>28.76</v>
      </c>
      <c r="K3">
        <v>15.28</v>
      </c>
      <c r="Q3">
        <v>9.9939</v>
      </c>
      <c r="R3">
        <v>164.7</v>
      </c>
      <c r="S3">
        <v>2.301974906868351</v>
      </c>
      <c r="T3">
        <f>(S3-S2)*100</f>
        <v>-1.4029739785160089</v>
      </c>
      <c r="U3">
        <v>3.713904767450837</v>
      </c>
      <c r="V3">
        <v>5.1041256371835946</v>
      </c>
      <c r="W3">
        <v>3.6921957766011082</v>
      </c>
      <c r="X3">
        <v>0</v>
      </c>
      <c r="Z3">
        <v>88.027000000000001</v>
      </c>
      <c r="AA3">
        <v>1.6666666666666596</v>
      </c>
      <c r="AB3">
        <v>4.76</v>
      </c>
      <c r="AC3">
        <v>4.8469545800000002</v>
      </c>
      <c r="AE3">
        <v>0</v>
      </c>
    </row>
    <row r="4" spans="1:33" x14ac:dyDescent="0.25">
      <c r="A4" s="1">
        <v>36220</v>
      </c>
      <c r="B4">
        <v>69.680099999999996</v>
      </c>
      <c r="C4">
        <f t="shared" ref="C4:C67" si="0">B4-B3</f>
        <v>0.23639999999998906</v>
      </c>
      <c r="E4">
        <v>-1.3183838330907501E-2</v>
      </c>
      <c r="F4">
        <v>41.394683999999998</v>
      </c>
      <c r="G4">
        <v>44.757770000000001</v>
      </c>
      <c r="H4">
        <v>18.260000000000002</v>
      </c>
      <c r="I4">
        <v>18.43</v>
      </c>
      <c r="J4">
        <v>23.47</v>
      </c>
      <c r="K4">
        <v>14.6</v>
      </c>
      <c r="Q4">
        <v>9.7316000000000003</v>
      </c>
      <c r="R4">
        <v>164.8</v>
      </c>
      <c r="S4">
        <v>2.2753783225558299</v>
      </c>
      <c r="T4">
        <f t="shared" ref="T4:T67" si="1">(S4-S3)*100</f>
        <v>-2.6596584312521099</v>
      </c>
      <c r="U4">
        <v>3.7231524667894371</v>
      </c>
      <c r="V4">
        <v>5.1047326174753724</v>
      </c>
      <c r="W4">
        <v>3.6569584732417639</v>
      </c>
      <c r="X4">
        <v>0</v>
      </c>
      <c r="Z4">
        <v>88.226699999999994</v>
      </c>
      <c r="AA4">
        <v>1.7283950617284023</v>
      </c>
      <c r="AB4">
        <v>4.8099999999999996</v>
      </c>
      <c r="AC4">
        <v>4.7290210259999998</v>
      </c>
      <c r="AE4">
        <v>0</v>
      </c>
    </row>
    <row r="5" spans="1:33" x14ac:dyDescent="0.25">
      <c r="A5" s="1">
        <v>36251</v>
      </c>
      <c r="B5">
        <v>69.838200000000001</v>
      </c>
      <c r="C5">
        <f t="shared" si="0"/>
        <v>0.15810000000000457</v>
      </c>
      <c r="E5">
        <v>-1.28846192132235E-2</v>
      </c>
      <c r="F5">
        <v>41.774577000000001</v>
      </c>
      <c r="G5">
        <v>45.293816999999997</v>
      </c>
      <c r="H5">
        <v>18.23</v>
      </c>
      <c r="I5">
        <v>18.489999999999998</v>
      </c>
      <c r="J5">
        <v>20.29</v>
      </c>
      <c r="K5">
        <v>14.35</v>
      </c>
      <c r="Q5">
        <v>9.4184999999999999</v>
      </c>
      <c r="R5">
        <v>165.9</v>
      </c>
      <c r="S5">
        <v>2.2426758402401372</v>
      </c>
      <c r="T5">
        <f t="shared" si="1"/>
        <v>-3.2702482315692727</v>
      </c>
      <c r="U5">
        <v>3.7322879487569431</v>
      </c>
      <c r="V5">
        <v>5.1113851971963991</v>
      </c>
      <c r="W5">
        <v>3.6217730886795931</v>
      </c>
      <c r="X5">
        <v>0</v>
      </c>
      <c r="Z5">
        <v>88.429500000000004</v>
      </c>
      <c r="AA5">
        <v>2.2811344019728836</v>
      </c>
      <c r="AB5">
        <v>4.74</v>
      </c>
      <c r="AC5">
        <v>4.74413017</v>
      </c>
      <c r="AE5">
        <v>0</v>
      </c>
    </row>
    <row r="6" spans="1:33" x14ac:dyDescent="0.25">
      <c r="A6" s="1">
        <v>36281</v>
      </c>
      <c r="B6">
        <v>70.108500000000006</v>
      </c>
      <c r="C6">
        <f t="shared" si="0"/>
        <v>0.27030000000000598</v>
      </c>
      <c r="E6">
        <v>-1.09835774741622E-2</v>
      </c>
      <c r="F6">
        <v>42.025877000000001</v>
      </c>
      <c r="G6">
        <v>45.732964000000003</v>
      </c>
      <c r="H6">
        <v>18.010000000000002</v>
      </c>
      <c r="I6">
        <v>18.37</v>
      </c>
      <c r="J6">
        <v>19.89</v>
      </c>
      <c r="K6">
        <v>13.8</v>
      </c>
      <c r="Q6">
        <v>9.4105000000000008</v>
      </c>
      <c r="R6">
        <v>166</v>
      </c>
      <c r="S6">
        <v>2.2418260871484819</v>
      </c>
      <c r="T6">
        <f t="shared" si="1"/>
        <v>-8.4975309165535862E-2</v>
      </c>
      <c r="U6">
        <v>3.7382855476075711</v>
      </c>
      <c r="V6">
        <v>5.1119877883565437</v>
      </c>
      <c r="W6">
        <v>3.6155283278974539</v>
      </c>
      <c r="X6">
        <v>0</v>
      </c>
      <c r="Z6">
        <v>88.988600000000005</v>
      </c>
      <c r="AA6">
        <v>2.0910209102091057</v>
      </c>
      <c r="AB6">
        <v>4.74</v>
      </c>
      <c r="AC6">
        <v>4.7416740849999996</v>
      </c>
      <c r="AE6">
        <v>0</v>
      </c>
    </row>
    <row r="7" spans="1:33" x14ac:dyDescent="0.25">
      <c r="A7" s="1">
        <v>36312</v>
      </c>
      <c r="B7">
        <v>69.805499999999995</v>
      </c>
      <c r="C7">
        <f t="shared" si="0"/>
        <v>-0.30300000000001148</v>
      </c>
      <c r="E7">
        <v>-1.7267783318747999E-2</v>
      </c>
      <c r="F7">
        <v>42.302005999999999</v>
      </c>
      <c r="G7">
        <v>46.088448999999997</v>
      </c>
      <c r="H7">
        <v>17.39</v>
      </c>
      <c r="I7">
        <v>17.899999999999999</v>
      </c>
      <c r="J7">
        <v>21.08</v>
      </c>
      <c r="K7">
        <v>13.38</v>
      </c>
      <c r="Q7">
        <v>9.5138999999999996</v>
      </c>
      <c r="R7">
        <v>166</v>
      </c>
      <c r="S7">
        <v>2.2527538871287001</v>
      </c>
      <c r="T7">
        <f t="shared" si="1"/>
        <v>1.09277999802182</v>
      </c>
      <c r="U7">
        <v>3.744834508095638</v>
      </c>
      <c r="V7">
        <v>5.1119877883565437</v>
      </c>
      <c r="W7">
        <v>3.6199071673896048</v>
      </c>
      <c r="X7">
        <v>0</v>
      </c>
      <c r="Z7">
        <v>88.918800000000005</v>
      </c>
      <c r="AA7">
        <v>1.9656019656019585</v>
      </c>
      <c r="AB7">
        <v>4.76</v>
      </c>
      <c r="AC7">
        <v>4.9263890879999996</v>
      </c>
      <c r="AE7">
        <v>0</v>
      </c>
    </row>
    <row r="8" spans="1:33" x14ac:dyDescent="0.25">
      <c r="A8" s="1">
        <v>36342</v>
      </c>
      <c r="B8">
        <v>70.347300000000004</v>
      </c>
      <c r="C8">
        <f t="shared" si="0"/>
        <v>0.54180000000000916</v>
      </c>
      <c r="E8">
        <v>-1.1475885916026701E-2</v>
      </c>
      <c r="F8">
        <v>42.581580000000002</v>
      </c>
      <c r="G8">
        <v>46.392671</v>
      </c>
      <c r="H8">
        <v>17.04</v>
      </c>
      <c r="I8">
        <v>17.77</v>
      </c>
      <c r="J8">
        <v>19.78</v>
      </c>
      <c r="K8">
        <v>12.77</v>
      </c>
      <c r="Q8">
        <v>9.3657000000000004</v>
      </c>
      <c r="R8">
        <v>166.7</v>
      </c>
      <c r="S8">
        <v>2.2370540794988352</v>
      </c>
      <c r="T8">
        <f t="shared" si="1"/>
        <v>-1.5699807629864893</v>
      </c>
      <c r="U8">
        <v>3.7514217653997268</v>
      </c>
      <c r="V8">
        <v>5.1161957897567483</v>
      </c>
      <c r="W8">
        <v>3.6018281038558562</v>
      </c>
      <c r="X8">
        <v>0</v>
      </c>
      <c r="Z8">
        <v>89.433300000000003</v>
      </c>
      <c r="AA8">
        <v>2.1446078431372548</v>
      </c>
      <c r="AB8">
        <v>4.99</v>
      </c>
      <c r="AC8">
        <v>4.9348985550000002</v>
      </c>
      <c r="AE8">
        <v>0</v>
      </c>
    </row>
    <row r="9" spans="1:33" x14ac:dyDescent="0.25">
      <c r="A9" s="1">
        <v>36373</v>
      </c>
      <c r="B9">
        <v>70.255399999999995</v>
      </c>
      <c r="C9">
        <f t="shared" si="0"/>
        <v>-9.1900000000009641E-2</v>
      </c>
      <c r="E9">
        <v>-1.4703985667882301E-2</v>
      </c>
      <c r="F9">
        <v>42.821255000000001</v>
      </c>
      <c r="G9">
        <v>46.743516</v>
      </c>
      <c r="H9">
        <v>16.579999999999998</v>
      </c>
      <c r="I9">
        <v>17.45</v>
      </c>
      <c r="J9">
        <v>20.54</v>
      </c>
      <c r="K9">
        <v>12.4</v>
      </c>
      <c r="Q9">
        <v>9.3965999999999994</v>
      </c>
      <c r="R9">
        <v>167.1</v>
      </c>
      <c r="S9">
        <v>2.240347921718306</v>
      </c>
      <c r="T9">
        <f t="shared" si="1"/>
        <v>0.32938422194708217</v>
      </c>
      <c r="U9">
        <v>3.7570345914662799</v>
      </c>
      <c r="V9">
        <v>5.1185924356013484</v>
      </c>
      <c r="W9">
        <v>3.601905765853374</v>
      </c>
      <c r="X9">
        <v>0</v>
      </c>
      <c r="Z9">
        <v>89.792400000000001</v>
      </c>
      <c r="AA9">
        <v>2.2643818849449135</v>
      </c>
      <c r="AB9">
        <v>5.07</v>
      </c>
      <c r="AC9">
        <v>5.1850653690000001</v>
      </c>
      <c r="AE9">
        <v>0</v>
      </c>
    </row>
    <row r="10" spans="1:33" x14ac:dyDescent="0.25">
      <c r="A10" s="1">
        <v>36404</v>
      </c>
      <c r="B10">
        <v>70.917500000000004</v>
      </c>
      <c r="C10">
        <f t="shared" si="0"/>
        <v>0.66210000000000946</v>
      </c>
      <c r="E10">
        <v>-7.21960189572268E-3</v>
      </c>
      <c r="F10">
        <v>43.235017999999997</v>
      </c>
      <c r="G10">
        <v>47.313031000000002</v>
      </c>
      <c r="H10">
        <v>15.83</v>
      </c>
      <c r="I10">
        <v>16.63</v>
      </c>
      <c r="J10">
        <v>19.71</v>
      </c>
      <c r="K10">
        <v>12</v>
      </c>
      <c r="Q10">
        <v>9.3358000000000008</v>
      </c>
      <c r="R10">
        <v>167.8</v>
      </c>
      <c r="S10">
        <v>2.2338564723040628</v>
      </c>
      <c r="T10">
        <f t="shared" si="1"/>
        <v>-0.64914494142431778</v>
      </c>
      <c r="U10">
        <v>3.7666507687416702</v>
      </c>
      <c r="V10">
        <v>5.1227727940331063</v>
      </c>
      <c r="W10">
        <v>3.5899784975954989</v>
      </c>
      <c r="X10">
        <v>0</v>
      </c>
      <c r="Z10">
        <v>89.429900000000004</v>
      </c>
      <c r="AA10">
        <v>2.6299694189602518</v>
      </c>
      <c r="AB10">
        <v>5.22</v>
      </c>
      <c r="AC10">
        <v>5.1726637679999996</v>
      </c>
      <c r="AE10">
        <v>0</v>
      </c>
    </row>
    <row r="11" spans="1:33" x14ac:dyDescent="0.25">
      <c r="A11" s="1">
        <v>36434</v>
      </c>
      <c r="B11">
        <v>70.813599999999994</v>
      </c>
      <c r="C11">
        <f t="shared" si="0"/>
        <v>-0.1039000000000101</v>
      </c>
      <c r="E11">
        <v>-1.0548846977305199E-2</v>
      </c>
      <c r="F11">
        <v>43.508851</v>
      </c>
      <c r="G11">
        <v>47.653205999999997</v>
      </c>
      <c r="H11">
        <v>14.91</v>
      </c>
      <c r="I11">
        <v>15.85</v>
      </c>
      <c r="J11">
        <v>17.87</v>
      </c>
      <c r="K11">
        <v>11.95</v>
      </c>
      <c r="Q11">
        <v>9.5667000000000009</v>
      </c>
      <c r="R11">
        <v>168.1</v>
      </c>
      <c r="S11">
        <v>2.2582883184119531</v>
      </c>
      <c r="T11">
        <f t="shared" si="1"/>
        <v>2.4431846107890287</v>
      </c>
      <c r="U11">
        <v>3.7729643886615358</v>
      </c>
      <c r="V11">
        <v>5.12455904041457</v>
      </c>
      <c r="W11">
        <v>3.6098829701649868</v>
      </c>
      <c r="X11">
        <v>0</v>
      </c>
      <c r="Z11">
        <v>90.522999999999996</v>
      </c>
      <c r="AA11">
        <v>2.5625381330079247</v>
      </c>
      <c r="AB11">
        <v>5.2</v>
      </c>
      <c r="AC11">
        <v>5.3149206839999996</v>
      </c>
      <c r="AE11">
        <v>0</v>
      </c>
    </row>
    <row r="12" spans="1:33" x14ac:dyDescent="0.25">
      <c r="A12" s="1">
        <v>36465</v>
      </c>
      <c r="B12">
        <v>71.001099999999994</v>
      </c>
      <c r="C12">
        <f t="shared" si="0"/>
        <v>0.1875</v>
      </c>
      <c r="E12">
        <v>-9.72716611201907E-3</v>
      </c>
      <c r="F12">
        <v>43.895775999999998</v>
      </c>
      <c r="G12">
        <v>47.955931</v>
      </c>
      <c r="H12">
        <v>13.92</v>
      </c>
      <c r="I12">
        <v>15.27</v>
      </c>
      <c r="J12">
        <v>16.96</v>
      </c>
      <c r="K12">
        <v>11.35</v>
      </c>
      <c r="Q12">
        <v>9.3987999999999996</v>
      </c>
      <c r="R12">
        <v>168.4</v>
      </c>
      <c r="S12">
        <v>2.2405820215523131</v>
      </c>
      <c r="T12">
        <f t="shared" si="1"/>
        <v>-1.7706296859639981</v>
      </c>
      <c r="U12">
        <v>3.7818180967729962</v>
      </c>
      <c r="V12">
        <v>5.126342101808226</v>
      </c>
      <c r="W12">
        <v>3.585106026587543</v>
      </c>
      <c r="X12">
        <v>0</v>
      </c>
      <c r="Z12">
        <v>90.961799999999997</v>
      </c>
      <c r="AA12">
        <v>2.6203534430225544</v>
      </c>
      <c r="AB12">
        <v>5.42</v>
      </c>
      <c r="AC12">
        <v>5.5891820619999999</v>
      </c>
      <c r="AE12">
        <v>0</v>
      </c>
    </row>
    <row r="13" spans="1:33" x14ac:dyDescent="0.25">
      <c r="A13" s="1">
        <v>36495</v>
      </c>
      <c r="B13">
        <v>71.666499999999999</v>
      </c>
      <c r="C13">
        <f t="shared" si="0"/>
        <v>0.66540000000000532</v>
      </c>
      <c r="E13">
        <v>-2.1726464957438898E-3</v>
      </c>
      <c r="F13">
        <v>44.335515999999998</v>
      </c>
      <c r="G13">
        <v>48.343133000000002</v>
      </c>
      <c r="H13">
        <v>12.32</v>
      </c>
      <c r="I13">
        <v>14.41</v>
      </c>
      <c r="J13">
        <v>16.45</v>
      </c>
      <c r="K13">
        <v>11.11</v>
      </c>
      <c r="Q13">
        <v>9.4248999999999992</v>
      </c>
      <c r="R13">
        <v>168.8</v>
      </c>
      <c r="S13">
        <v>2.243355123198211</v>
      </c>
      <c r="T13">
        <f t="shared" si="1"/>
        <v>0.27731016458978353</v>
      </c>
      <c r="U13">
        <v>3.791786071424442</v>
      </c>
      <c r="V13">
        <v>5.1287145821618569</v>
      </c>
      <c r="W13">
        <v>3.5802836339356259</v>
      </c>
      <c r="X13">
        <v>0</v>
      </c>
      <c r="Z13">
        <v>91.663399999999996</v>
      </c>
      <c r="AA13">
        <v>2.6763990267639937</v>
      </c>
      <c r="AB13">
        <v>5.3</v>
      </c>
      <c r="AC13">
        <v>5.8263679530000001</v>
      </c>
      <c r="AE13">
        <v>0</v>
      </c>
    </row>
    <row r="14" spans="1:33" x14ac:dyDescent="0.25">
      <c r="A14" s="1">
        <v>36526</v>
      </c>
      <c r="B14">
        <v>73.635400000000004</v>
      </c>
      <c r="C14">
        <f t="shared" si="0"/>
        <v>1.968900000000005</v>
      </c>
      <c r="E14">
        <v>2.32146913134521E-2</v>
      </c>
      <c r="F14">
        <v>44.93083</v>
      </c>
      <c r="G14">
        <v>48.969169999999998</v>
      </c>
      <c r="H14">
        <v>11.02</v>
      </c>
      <c r="I14">
        <v>13.17</v>
      </c>
      <c r="J14">
        <v>16.190000000000001</v>
      </c>
      <c r="K14">
        <v>10.55</v>
      </c>
      <c r="Q14">
        <v>9.4878</v>
      </c>
      <c r="R14">
        <v>169.3</v>
      </c>
      <c r="S14">
        <v>2.2500067627751892</v>
      </c>
      <c r="T14">
        <f t="shared" si="1"/>
        <v>0.66516395769782299</v>
      </c>
      <c r="U14">
        <v>3.8051241960919451</v>
      </c>
      <c r="V14">
        <v>5.1316722891390896</v>
      </c>
      <c r="W14">
        <v>3.5765548558223341</v>
      </c>
      <c r="X14">
        <v>0</v>
      </c>
      <c r="Z14">
        <v>91.537999999999997</v>
      </c>
      <c r="AA14">
        <v>2.7929568913175609</v>
      </c>
      <c r="AB14">
        <v>5.45</v>
      </c>
      <c r="AC14">
        <v>5.8517520349999996</v>
      </c>
      <c r="AE14">
        <v>0</v>
      </c>
    </row>
    <row r="15" spans="1:33" x14ac:dyDescent="0.25">
      <c r="A15" s="1">
        <v>36557</v>
      </c>
      <c r="B15">
        <v>73.183599999999998</v>
      </c>
      <c r="C15">
        <f t="shared" si="0"/>
        <v>-0.45180000000000575</v>
      </c>
      <c r="E15">
        <v>1.54128527193906E-2</v>
      </c>
      <c r="F15">
        <v>45.32938</v>
      </c>
      <c r="G15">
        <v>49.507967999999998</v>
      </c>
      <c r="H15">
        <v>10.52</v>
      </c>
      <c r="I15">
        <v>12.36</v>
      </c>
      <c r="J15">
        <v>15.81</v>
      </c>
      <c r="K15">
        <v>10.4</v>
      </c>
      <c r="Q15">
        <v>9.4252000000000002</v>
      </c>
      <c r="R15">
        <v>170</v>
      </c>
      <c r="S15">
        <v>2.243386953268081</v>
      </c>
      <c r="T15">
        <f t="shared" si="1"/>
        <v>-0.66198095071081653</v>
      </c>
      <c r="U15">
        <v>3.813955387382935</v>
      </c>
      <c r="V15">
        <v>5.1357984370502621</v>
      </c>
      <c r="W15">
        <v>3.565230002935408</v>
      </c>
      <c r="X15">
        <v>0</v>
      </c>
      <c r="Z15">
        <v>91.823899999999995</v>
      </c>
      <c r="AA15">
        <v>3.2179720704310939</v>
      </c>
      <c r="AB15">
        <v>5.73</v>
      </c>
      <c r="AC15">
        <v>5.8496614569999998</v>
      </c>
      <c r="AE15">
        <v>0</v>
      </c>
    </row>
    <row r="16" spans="1:33" x14ac:dyDescent="0.25">
      <c r="A16" s="1">
        <v>36586</v>
      </c>
      <c r="B16">
        <v>73.0976</v>
      </c>
      <c r="C16">
        <f t="shared" si="0"/>
        <v>-8.5999999999998522E-2</v>
      </c>
      <c r="E16">
        <v>1.2665401428125601E-2</v>
      </c>
      <c r="F16">
        <v>45.580680999999998</v>
      </c>
      <c r="G16">
        <v>49.828170999999998</v>
      </c>
      <c r="H16">
        <v>10.11</v>
      </c>
      <c r="I16">
        <v>11.33</v>
      </c>
      <c r="J16">
        <v>13.66</v>
      </c>
      <c r="K16">
        <v>9.3699999999999992</v>
      </c>
      <c r="Q16">
        <v>9.2875999999999994</v>
      </c>
      <c r="R16">
        <v>171</v>
      </c>
      <c r="S16">
        <v>2.228680177146074</v>
      </c>
      <c r="T16">
        <f t="shared" si="1"/>
        <v>-1.4706776122006993</v>
      </c>
      <c r="U16">
        <v>3.819483964469419</v>
      </c>
      <c r="V16">
        <v>5.1416635565026603</v>
      </c>
      <c r="W16">
        <v>3.5508597691793149</v>
      </c>
      <c r="X16">
        <v>0</v>
      </c>
      <c r="Z16">
        <v>92.150400000000005</v>
      </c>
      <c r="AA16">
        <v>3.7621359223300899</v>
      </c>
      <c r="AB16">
        <v>5.85</v>
      </c>
      <c r="AC16">
        <v>6.0630262979999996</v>
      </c>
      <c r="AE16">
        <v>0</v>
      </c>
    </row>
    <row r="17" spans="1:31" x14ac:dyDescent="0.25">
      <c r="A17" s="1">
        <v>36617</v>
      </c>
      <c r="B17">
        <v>73.243700000000004</v>
      </c>
      <c r="C17">
        <f t="shared" si="0"/>
        <v>0.14610000000000412</v>
      </c>
      <c r="E17">
        <v>1.31729035872068E-2</v>
      </c>
      <c r="F17">
        <v>45.840018000000001</v>
      </c>
      <c r="G17">
        <v>50.089982999999997</v>
      </c>
      <c r="H17">
        <v>9.73</v>
      </c>
      <c r="I17">
        <v>10.59</v>
      </c>
      <c r="J17">
        <v>12.93</v>
      </c>
      <c r="K17">
        <v>9.5</v>
      </c>
      <c r="Q17">
        <v>9.3902999999999999</v>
      </c>
      <c r="R17">
        <v>170.9</v>
      </c>
      <c r="S17">
        <v>2.2396772415916062</v>
      </c>
      <c r="T17">
        <f t="shared" si="1"/>
        <v>1.0997064445532168</v>
      </c>
      <c r="U17">
        <v>3.8251574650765638</v>
      </c>
      <c r="V17">
        <v>5.1410785901215457</v>
      </c>
      <c r="W17">
        <v>3.555598366636588</v>
      </c>
      <c r="X17">
        <v>0</v>
      </c>
      <c r="Z17">
        <v>92.698899999999995</v>
      </c>
      <c r="AA17">
        <v>3.013863773357444</v>
      </c>
      <c r="AB17">
        <v>6.02</v>
      </c>
      <c r="AC17">
        <v>6.1628009070000003</v>
      </c>
      <c r="AE17">
        <v>0</v>
      </c>
    </row>
    <row r="18" spans="1:31" x14ac:dyDescent="0.25">
      <c r="A18" s="1">
        <v>36647</v>
      </c>
      <c r="B18">
        <v>73.803600000000003</v>
      </c>
      <c r="C18">
        <f t="shared" si="0"/>
        <v>0.55989999999999895</v>
      </c>
      <c r="E18">
        <v>1.9387293856912201E-2</v>
      </c>
      <c r="F18">
        <v>46.011378999999998</v>
      </c>
      <c r="G18">
        <v>50.309097000000001</v>
      </c>
      <c r="H18">
        <v>9.48</v>
      </c>
      <c r="I18">
        <v>10.01</v>
      </c>
      <c r="J18">
        <v>14.18</v>
      </c>
      <c r="K18">
        <v>8.9499999999999993</v>
      </c>
      <c r="Q18">
        <v>9.5158000000000005</v>
      </c>
      <c r="R18">
        <v>171.2</v>
      </c>
      <c r="S18">
        <v>2.2529535749857139</v>
      </c>
      <c r="T18">
        <f t="shared" si="1"/>
        <v>1.327633339410772</v>
      </c>
      <c r="U18">
        <v>3.8288887354635062</v>
      </c>
      <c r="V18">
        <v>5.1428324637076406</v>
      </c>
      <c r="W18">
        <v>3.5668973032298492</v>
      </c>
      <c r="X18">
        <v>0</v>
      </c>
      <c r="Z18">
        <v>92.9499</v>
      </c>
      <c r="AA18">
        <v>3.1325301204819209</v>
      </c>
      <c r="AB18">
        <v>6.27</v>
      </c>
      <c r="AC18">
        <v>6.6230199040000004</v>
      </c>
      <c r="AE18">
        <v>0</v>
      </c>
    </row>
    <row r="19" spans="1:31" x14ac:dyDescent="0.25">
      <c r="A19" s="1">
        <v>36678</v>
      </c>
      <c r="B19">
        <v>74.349100000000007</v>
      </c>
      <c r="C19">
        <f t="shared" si="0"/>
        <v>0.54550000000000409</v>
      </c>
      <c r="E19">
        <v>2.54437548850888E-2</v>
      </c>
      <c r="F19">
        <v>46.283920000000002</v>
      </c>
      <c r="G19">
        <v>50.477975999999998</v>
      </c>
      <c r="H19">
        <v>9.41</v>
      </c>
      <c r="I19">
        <v>9.52</v>
      </c>
      <c r="J19">
        <v>15.65</v>
      </c>
      <c r="K19">
        <v>8.99</v>
      </c>
      <c r="Q19">
        <v>9.8294999999999995</v>
      </c>
      <c r="R19">
        <v>172.2</v>
      </c>
      <c r="S19">
        <v>2.2853880681655241</v>
      </c>
      <c r="T19">
        <f t="shared" si="1"/>
        <v>3.2434493179810175</v>
      </c>
      <c r="U19">
        <v>3.834794600553519</v>
      </c>
      <c r="V19">
        <v>5.14865659199363</v>
      </c>
      <c r="W19">
        <v>3.599250059605636</v>
      </c>
      <c r="X19">
        <v>0</v>
      </c>
      <c r="Z19">
        <v>92.986199999999997</v>
      </c>
      <c r="AA19">
        <v>3.7349397590361377</v>
      </c>
      <c r="AB19">
        <v>6.53</v>
      </c>
      <c r="AC19">
        <v>6.4607006929999997</v>
      </c>
      <c r="AE19">
        <v>0</v>
      </c>
    </row>
    <row r="20" spans="1:31" x14ac:dyDescent="0.25">
      <c r="A20" s="1">
        <v>36708</v>
      </c>
      <c r="B20">
        <v>74.763900000000007</v>
      </c>
      <c r="C20">
        <f t="shared" si="0"/>
        <v>0.41479999999999961</v>
      </c>
      <c r="E20">
        <v>2.9796649862565701E-2</v>
      </c>
      <c r="F20">
        <v>46.464466000000002</v>
      </c>
      <c r="G20">
        <v>50.645767999999997</v>
      </c>
      <c r="H20">
        <v>9.1199999999999992</v>
      </c>
      <c r="I20">
        <v>9.17</v>
      </c>
      <c r="J20">
        <v>13.73</v>
      </c>
      <c r="K20">
        <v>8.8800000000000008</v>
      </c>
      <c r="Q20">
        <v>9.4212000000000007</v>
      </c>
      <c r="R20">
        <v>172.7</v>
      </c>
      <c r="S20">
        <v>2.2429624690100729</v>
      </c>
      <c r="T20">
        <f t="shared" si="1"/>
        <v>-4.2425599155451188</v>
      </c>
      <c r="U20">
        <v>3.8386878484220111</v>
      </c>
      <c r="V20">
        <v>5.1515559851526316</v>
      </c>
      <c r="W20">
        <v>3.5558306057406952</v>
      </c>
      <c r="X20">
        <v>0</v>
      </c>
      <c r="Z20">
        <v>92.8048</v>
      </c>
      <c r="AA20">
        <v>3.5992801439712063</v>
      </c>
      <c r="AB20">
        <v>6.54</v>
      </c>
      <c r="AC20">
        <v>6.40821255</v>
      </c>
      <c r="AE20">
        <v>0</v>
      </c>
    </row>
    <row r="21" spans="1:31" x14ac:dyDescent="0.25">
      <c r="A21" s="1">
        <v>36739</v>
      </c>
      <c r="B21">
        <v>74.349500000000006</v>
      </c>
      <c r="C21">
        <f t="shared" si="0"/>
        <v>-0.41440000000000055</v>
      </c>
      <c r="E21">
        <v>2.3126531639644701E-2</v>
      </c>
      <c r="F21">
        <v>46.719785000000002</v>
      </c>
      <c r="G21">
        <v>50.857467999999997</v>
      </c>
      <c r="H21">
        <v>9.1</v>
      </c>
      <c r="I21">
        <v>8.8000000000000007</v>
      </c>
      <c r="J21">
        <v>15.23</v>
      </c>
      <c r="K21">
        <v>8.6300000000000008</v>
      </c>
      <c r="Q21">
        <v>9.2708999999999993</v>
      </c>
      <c r="R21">
        <v>172.7</v>
      </c>
      <c r="S21">
        <v>2.2268804622437299</v>
      </c>
      <c r="T21">
        <f t="shared" si="1"/>
        <v>-1.6082006766342971</v>
      </c>
      <c r="U21">
        <v>3.8441677366258209</v>
      </c>
      <c r="V21">
        <v>5.1515559851526316</v>
      </c>
      <c r="W21">
        <v>3.5342687107705411</v>
      </c>
      <c r="X21">
        <v>0</v>
      </c>
      <c r="Z21">
        <v>92.552099999999996</v>
      </c>
      <c r="AA21">
        <v>3.3512866546977826</v>
      </c>
      <c r="AB21">
        <v>6.5</v>
      </c>
      <c r="AC21">
        <v>6.3892446090000004</v>
      </c>
      <c r="AE21">
        <v>0</v>
      </c>
    </row>
    <row r="22" spans="1:31" x14ac:dyDescent="0.25">
      <c r="A22" s="1">
        <v>36770</v>
      </c>
      <c r="B22">
        <v>74.334400000000002</v>
      </c>
      <c r="C22">
        <f t="shared" si="0"/>
        <v>-1.5100000000003888E-2</v>
      </c>
      <c r="E22">
        <v>2.1910052758913799E-2</v>
      </c>
      <c r="F22">
        <v>47.061072000000003</v>
      </c>
      <c r="G22">
        <v>51.249209</v>
      </c>
      <c r="H22">
        <v>8.85</v>
      </c>
      <c r="I22">
        <v>8.32</v>
      </c>
      <c r="J22">
        <v>15.06</v>
      </c>
      <c r="K22">
        <v>8.14</v>
      </c>
      <c r="Q22">
        <v>9.3539999999999992</v>
      </c>
      <c r="R22">
        <v>173.6</v>
      </c>
      <c r="S22">
        <v>2.2358040593036939</v>
      </c>
      <c r="T22">
        <f t="shared" si="1"/>
        <v>0.8923597059963928</v>
      </c>
      <c r="U22">
        <v>3.851446162470284</v>
      </c>
      <c r="V22">
        <v>5.15675380222625</v>
      </c>
      <c r="W22">
        <v>3.5411116990596612</v>
      </c>
      <c r="X22">
        <v>0</v>
      </c>
      <c r="Z22">
        <v>92.979200000000006</v>
      </c>
      <c r="AA22">
        <v>3.4564958283670935</v>
      </c>
      <c r="AB22">
        <v>6.52</v>
      </c>
      <c r="AC22">
        <v>6.5205523149999998</v>
      </c>
      <c r="AE22">
        <v>0</v>
      </c>
    </row>
    <row r="23" spans="1:31" x14ac:dyDescent="0.25">
      <c r="A23" s="1">
        <v>36800</v>
      </c>
      <c r="B23">
        <v>74.409199999999998</v>
      </c>
      <c r="C23">
        <f t="shared" si="0"/>
        <v>7.4799999999996203E-2</v>
      </c>
      <c r="E23">
        <v>2.19991828867299E-2</v>
      </c>
      <c r="F23">
        <v>47.385136000000003</v>
      </c>
      <c r="G23">
        <v>51.517162999999996</v>
      </c>
      <c r="H23">
        <v>8.91</v>
      </c>
      <c r="I23">
        <v>8.11</v>
      </c>
      <c r="J23">
        <v>15.88</v>
      </c>
      <c r="K23">
        <v>7.93</v>
      </c>
      <c r="Q23">
        <v>9.5313999999999997</v>
      </c>
      <c r="R23">
        <v>173.9</v>
      </c>
      <c r="S23">
        <v>2.2545916113887672</v>
      </c>
      <c r="T23">
        <f t="shared" si="1"/>
        <v>1.8787552085073322</v>
      </c>
      <c r="U23">
        <v>3.858308593024613</v>
      </c>
      <c r="V23">
        <v>5.1584804213602373</v>
      </c>
      <c r="W23">
        <v>3.554763439724391</v>
      </c>
      <c r="X23">
        <v>0</v>
      </c>
      <c r="Z23">
        <v>92.617900000000006</v>
      </c>
      <c r="AA23">
        <v>3.4503271861986984</v>
      </c>
      <c r="AB23">
        <v>6.51</v>
      </c>
      <c r="AC23">
        <v>6.6467520990000004</v>
      </c>
      <c r="AE23">
        <v>0</v>
      </c>
    </row>
    <row r="24" spans="1:31" x14ac:dyDescent="0.25">
      <c r="A24" s="1">
        <v>36831</v>
      </c>
      <c r="B24">
        <v>74.172899999999998</v>
      </c>
      <c r="C24">
        <f t="shared" si="0"/>
        <v>-0.23629999999999995</v>
      </c>
      <c r="E24">
        <v>1.7995215289344599E-2</v>
      </c>
      <c r="F24">
        <v>47.790287999999997</v>
      </c>
      <c r="G24">
        <v>51.844652000000004</v>
      </c>
      <c r="H24">
        <v>8.8699999999999992</v>
      </c>
      <c r="I24">
        <v>8.11</v>
      </c>
      <c r="J24">
        <v>17.559999999999999</v>
      </c>
      <c r="K24">
        <v>7.62</v>
      </c>
      <c r="Q24">
        <v>9.5004000000000008</v>
      </c>
      <c r="R24">
        <v>174.2</v>
      </c>
      <c r="S24">
        <v>2.251333902983252</v>
      </c>
      <c r="T24">
        <f t="shared" si="1"/>
        <v>-0.32577084055152028</v>
      </c>
      <c r="U24">
        <v>3.8668224389372572</v>
      </c>
      <c r="V24">
        <v>5.1602040644184024</v>
      </c>
      <c r="W24">
        <v>3.5447155284643972</v>
      </c>
      <c r="X24">
        <v>0</v>
      </c>
      <c r="Z24">
        <v>92.643799999999999</v>
      </c>
      <c r="AA24">
        <v>3.4441805225653108</v>
      </c>
      <c r="AB24">
        <v>6.51</v>
      </c>
      <c r="AC24">
        <v>6.4356901110000004</v>
      </c>
      <c r="AE24">
        <v>0</v>
      </c>
    </row>
    <row r="25" spans="1:31" x14ac:dyDescent="0.25">
      <c r="A25" s="1">
        <v>36861</v>
      </c>
      <c r="B25">
        <v>73.495400000000004</v>
      </c>
      <c r="C25">
        <f t="shared" si="0"/>
        <v>-0.67749999999999488</v>
      </c>
      <c r="E25">
        <v>8.0844760607474697E-3</v>
      </c>
      <c r="F25">
        <v>48.307670999999999</v>
      </c>
      <c r="G25">
        <v>52.136690000000002</v>
      </c>
      <c r="H25">
        <v>8.9600000000000009</v>
      </c>
      <c r="I25">
        <v>7.85</v>
      </c>
      <c r="J25">
        <v>17.05</v>
      </c>
      <c r="K25">
        <v>7.3</v>
      </c>
      <c r="Q25">
        <v>9.4658999999999995</v>
      </c>
      <c r="R25">
        <v>174.6</v>
      </c>
      <c r="S25">
        <v>2.2476958673040208</v>
      </c>
      <c r="T25">
        <f t="shared" si="1"/>
        <v>-0.36380356792311552</v>
      </c>
      <c r="U25">
        <v>3.8775903679237622</v>
      </c>
      <c r="V25">
        <v>5.1624976434055014</v>
      </c>
      <c r="W25">
        <v>3.53260314278576</v>
      </c>
      <c r="X25">
        <v>0</v>
      </c>
      <c r="Z25">
        <v>92.341499999999996</v>
      </c>
      <c r="AA25">
        <v>3.4360189573459614</v>
      </c>
      <c r="AB25">
        <v>6.4</v>
      </c>
      <c r="AC25">
        <v>5.9889543060000001</v>
      </c>
      <c r="AE25">
        <v>0</v>
      </c>
    </row>
    <row r="26" spans="1:31" x14ac:dyDescent="0.25">
      <c r="A26" s="1">
        <v>36892</v>
      </c>
      <c r="B26">
        <v>74.1785</v>
      </c>
      <c r="C26">
        <f t="shared" si="0"/>
        <v>0.68309999999999604</v>
      </c>
      <c r="E26">
        <v>1.66837136297113E-2</v>
      </c>
      <c r="F26">
        <v>48.575476000000002</v>
      </c>
      <c r="G26">
        <v>52.524222999999999</v>
      </c>
      <c r="H26">
        <v>8.11</v>
      </c>
      <c r="I26">
        <v>7.26</v>
      </c>
      <c r="J26">
        <v>17.89</v>
      </c>
      <c r="K26">
        <v>7.63</v>
      </c>
      <c r="Q26">
        <v>9.7766000000000002</v>
      </c>
      <c r="R26">
        <v>175.6</v>
      </c>
      <c r="S26">
        <v>2.2799917753413008</v>
      </c>
      <c r="T26">
        <f t="shared" si="1"/>
        <v>3.2295908037279997</v>
      </c>
      <c r="U26">
        <v>3.8831187944949561</v>
      </c>
      <c r="V26">
        <v>5.1682086812010164</v>
      </c>
      <c r="W26">
        <v>3.565081662047362</v>
      </c>
      <c r="X26">
        <v>0</v>
      </c>
      <c r="Z26">
        <v>91.902000000000001</v>
      </c>
      <c r="AA26">
        <v>3.7212049616066047</v>
      </c>
      <c r="AB26">
        <v>5.98</v>
      </c>
      <c r="AC26">
        <v>5.0428576060000001</v>
      </c>
      <c r="AE26">
        <v>0</v>
      </c>
    </row>
    <row r="27" spans="1:31" x14ac:dyDescent="0.25">
      <c r="A27" s="1">
        <v>36923</v>
      </c>
      <c r="B27">
        <v>73.575199999999995</v>
      </c>
      <c r="C27">
        <f t="shared" si="0"/>
        <v>-0.60330000000000439</v>
      </c>
      <c r="E27">
        <v>7.94081240498112E-3</v>
      </c>
      <c r="F27">
        <v>48.543328000000002</v>
      </c>
      <c r="G27">
        <v>52.920347</v>
      </c>
      <c r="H27">
        <v>7.09</v>
      </c>
      <c r="I27">
        <v>6.89</v>
      </c>
      <c r="J27">
        <v>17.34</v>
      </c>
      <c r="K27">
        <v>7.74</v>
      </c>
      <c r="Q27">
        <v>9.7044999999999995</v>
      </c>
      <c r="R27">
        <v>176</v>
      </c>
      <c r="S27">
        <v>2.2725896954586449</v>
      </c>
      <c r="T27">
        <f t="shared" si="1"/>
        <v>-0.74020798826559542</v>
      </c>
      <c r="U27">
        <v>3.882456759958901</v>
      </c>
      <c r="V27">
        <v>5.1704839950381514</v>
      </c>
      <c r="W27">
        <v>3.5606169305378952</v>
      </c>
      <c r="X27">
        <v>0</v>
      </c>
      <c r="Z27">
        <v>91.303399999999996</v>
      </c>
      <c r="AA27">
        <v>3.5294117647058822</v>
      </c>
      <c r="AB27">
        <v>5.49</v>
      </c>
      <c r="AC27">
        <v>4.7619666030000003</v>
      </c>
      <c r="AE27">
        <v>0</v>
      </c>
    </row>
    <row r="28" spans="1:31" x14ac:dyDescent="0.25">
      <c r="A28" s="1">
        <v>36951</v>
      </c>
      <c r="B28">
        <v>73.427499999999995</v>
      </c>
      <c r="C28">
        <f t="shared" si="0"/>
        <v>-0.14770000000000039</v>
      </c>
      <c r="E28">
        <v>5.4226554201699502E-3</v>
      </c>
      <c r="F28">
        <v>48.850887999999998</v>
      </c>
      <c r="G28">
        <v>53.237143000000003</v>
      </c>
      <c r="H28">
        <v>7.17</v>
      </c>
      <c r="I28">
        <v>6.84</v>
      </c>
      <c r="J28">
        <v>15.8</v>
      </c>
      <c r="K28">
        <v>7.1</v>
      </c>
      <c r="Q28">
        <v>9.6006</v>
      </c>
      <c r="R28">
        <v>176.1</v>
      </c>
      <c r="S28">
        <v>2.261825596520747</v>
      </c>
      <c r="T28">
        <f t="shared" si="1"/>
        <v>-1.076409893789787</v>
      </c>
      <c r="U28">
        <v>3.8887725564197848</v>
      </c>
      <c r="V28">
        <v>5.17105201550216</v>
      </c>
      <c r="W28">
        <v>3.5441050556031222</v>
      </c>
      <c r="X28">
        <v>0</v>
      </c>
      <c r="Z28">
        <v>91.116200000000006</v>
      </c>
      <c r="AA28">
        <v>2.982456140350874</v>
      </c>
      <c r="AB28">
        <v>5.31</v>
      </c>
      <c r="AC28">
        <v>4.2951606059999996</v>
      </c>
      <c r="AE28">
        <v>0</v>
      </c>
    </row>
    <row r="29" spans="1:31" x14ac:dyDescent="0.25">
      <c r="A29" s="1">
        <v>36982</v>
      </c>
      <c r="B29">
        <v>73.268500000000003</v>
      </c>
      <c r="C29">
        <f t="shared" si="0"/>
        <v>-0.15899999999999181</v>
      </c>
      <c r="E29">
        <v>2.8057413016213699E-3</v>
      </c>
      <c r="F29">
        <v>49.097309000000003</v>
      </c>
      <c r="G29">
        <v>53.493597000000001</v>
      </c>
      <c r="H29">
        <v>7.11</v>
      </c>
      <c r="I29">
        <v>6.79</v>
      </c>
      <c r="J29">
        <v>14.96</v>
      </c>
      <c r="K29">
        <v>7</v>
      </c>
      <c r="Q29">
        <v>9.3268000000000004</v>
      </c>
      <c r="R29">
        <v>176.4</v>
      </c>
      <c r="S29">
        <v>2.2328919763927009</v>
      </c>
      <c r="T29">
        <f t="shared" si="1"/>
        <v>-2.8933620128046122</v>
      </c>
      <c r="U29">
        <v>3.8938042267812309</v>
      </c>
      <c r="V29">
        <v>5.1727541435726909</v>
      </c>
      <c r="W29">
        <v>3.51184189318416</v>
      </c>
      <c r="X29">
        <v>0</v>
      </c>
      <c r="Z29">
        <v>90.789100000000005</v>
      </c>
      <c r="AA29">
        <v>3.2182562902282039</v>
      </c>
      <c r="AB29">
        <v>4.8</v>
      </c>
      <c r="AC29">
        <v>3.828809841</v>
      </c>
      <c r="AE29">
        <v>0</v>
      </c>
    </row>
    <row r="30" spans="1:31" x14ac:dyDescent="0.25">
      <c r="A30" s="1">
        <v>37012</v>
      </c>
      <c r="B30">
        <v>73.174700000000001</v>
      </c>
      <c r="C30">
        <f t="shared" si="0"/>
        <v>-9.380000000000166E-2</v>
      </c>
      <c r="E30">
        <v>1.1262721393467999E-3</v>
      </c>
      <c r="F30">
        <v>49.209969999999998</v>
      </c>
      <c r="G30">
        <v>53.686532</v>
      </c>
      <c r="H30">
        <v>6.95</v>
      </c>
      <c r="I30">
        <v>6.71</v>
      </c>
      <c r="J30">
        <v>11.95</v>
      </c>
      <c r="K30">
        <v>6.89</v>
      </c>
      <c r="Q30">
        <v>9.1372</v>
      </c>
      <c r="R30">
        <v>177.3</v>
      </c>
      <c r="S30">
        <v>2.212353992799577</v>
      </c>
      <c r="T30">
        <f t="shared" si="1"/>
        <v>-2.0537983593123865</v>
      </c>
      <c r="U30">
        <v>3.8960962452455119</v>
      </c>
      <c r="V30">
        <v>5.1778432130801626</v>
      </c>
      <c r="W30">
        <v>3.4941009606342281</v>
      </c>
      <c r="X30">
        <v>0</v>
      </c>
      <c r="Z30">
        <v>90.355500000000006</v>
      </c>
      <c r="AA30">
        <v>3.5630841121495465</v>
      </c>
      <c r="AB30">
        <v>4.21</v>
      </c>
      <c r="AC30">
        <v>3.2276127529999998</v>
      </c>
      <c r="AE30">
        <v>0</v>
      </c>
    </row>
    <row r="31" spans="1:31" x14ac:dyDescent="0.25">
      <c r="A31" s="1">
        <v>37043</v>
      </c>
      <c r="B31">
        <v>73.243099999999998</v>
      </c>
      <c r="C31">
        <f t="shared" si="0"/>
        <v>6.8399999999996908E-2</v>
      </c>
      <c r="E31">
        <v>1.70393688693427E-3</v>
      </c>
      <c r="F31">
        <v>49.326363999999998</v>
      </c>
      <c r="G31">
        <v>53.858851000000001</v>
      </c>
      <c r="H31">
        <v>6.57</v>
      </c>
      <c r="I31">
        <v>6.7</v>
      </c>
      <c r="J31">
        <v>9.43</v>
      </c>
      <c r="K31">
        <v>6.7</v>
      </c>
      <c r="Q31">
        <v>9.0867000000000004</v>
      </c>
      <c r="R31">
        <v>177.7</v>
      </c>
      <c r="S31">
        <v>2.2068118059721251</v>
      </c>
      <c r="T31">
        <f t="shared" si="1"/>
        <v>-0.55421868274518893</v>
      </c>
      <c r="U31">
        <v>3.898458704846151</v>
      </c>
      <c r="V31">
        <v>5.180096735160606</v>
      </c>
      <c r="W31">
        <v>3.488449836286581</v>
      </c>
      <c r="X31">
        <v>0</v>
      </c>
      <c r="Z31">
        <v>89.878399999999999</v>
      </c>
      <c r="AA31">
        <v>3.1939605110336817</v>
      </c>
      <c r="AB31">
        <v>3.97</v>
      </c>
      <c r="AC31">
        <v>3.2721583139999999</v>
      </c>
      <c r="AE31">
        <v>0</v>
      </c>
    </row>
    <row r="32" spans="1:31" x14ac:dyDescent="0.25">
      <c r="A32" s="1">
        <v>37073</v>
      </c>
      <c r="B32">
        <v>73.118799999999993</v>
      </c>
      <c r="C32">
        <f t="shared" si="0"/>
        <v>-0.12430000000000518</v>
      </c>
      <c r="E32">
        <v>-3.1850135425592901E-4</v>
      </c>
      <c r="F32">
        <v>49.198202000000002</v>
      </c>
      <c r="G32">
        <v>53.941921999999998</v>
      </c>
      <c r="H32">
        <v>5.88</v>
      </c>
      <c r="I32">
        <v>6.51</v>
      </c>
      <c r="J32">
        <v>9.39</v>
      </c>
      <c r="K32">
        <v>6.15</v>
      </c>
      <c r="Q32">
        <v>9.1617999999999995</v>
      </c>
      <c r="R32">
        <v>177.4</v>
      </c>
      <c r="S32">
        <v>2.215042665931374</v>
      </c>
      <c r="T32">
        <f t="shared" si="1"/>
        <v>0.82308599592488818</v>
      </c>
      <c r="U32">
        <v>3.895857078115041</v>
      </c>
      <c r="V32">
        <v>5.1784070698754787</v>
      </c>
      <c r="W32">
        <v>3.4975926576918108</v>
      </c>
      <c r="X32">
        <v>0</v>
      </c>
      <c r="Z32">
        <v>89.302800000000005</v>
      </c>
      <c r="AA32">
        <v>2.7214823393167444</v>
      </c>
      <c r="AB32">
        <v>3.77</v>
      </c>
      <c r="AC32">
        <v>3.0456881020000002</v>
      </c>
      <c r="AE32">
        <v>0</v>
      </c>
    </row>
    <row r="33" spans="1:31" x14ac:dyDescent="0.25">
      <c r="A33" s="1">
        <v>37104</v>
      </c>
      <c r="B33">
        <v>73.503500000000003</v>
      </c>
      <c r="C33">
        <f t="shared" si="0"/>
        <v>0.38470000000000937</v>
      </c>
      <c r="E33">
        <v>4.62868134003092E-3</v>
      </c>
      <c r="F33">
        <v>49.489688000000001</v>
      </c>
      <c r="G33">
        <v>54.121783000000001</v>
      </c>
      <c r="H33">
        <v>5.93</v>
      </c>
      <c r="I33">
        <v>6.42</v>
      </c>
      <c r="J33">
        <v>7.51</v>
      </c>
      <c r="K33">
        <v>5.74</v>
      </c>
      <c r="Q33">
        <v>9.1306999999999992</v>
      </c>
      <c r="R33">
        <v>177.4</v>
      </c>
      <c r="S33">
        <v>2.211642361985493</v>
      </c>
      <c r="T33">
        <f t="shared" si="1"/>
        <v>-0.34003039458809781</v>
      </c>
      <c r="U33">
        <v>3.9017643246400229</v>
      </c>
      <c r="V33">
        <v>5.1784070698754787</v>
      </c>
      <c r="W33">
        <v>3.488285107220948</v>
      </c>
      <c r="X33">
        <v>0</v>
      </c>
      <c r="Z33">
        <v>89.200299999999999</v>
      </c>
      <c r="AA33">
        <v>2.7214823393167444</v>
      </c>
      <c r="AB33">
        <v>3.65</v>
      </c>
      <c r="AC33">
        <v>2.832883985</v>
      </c>
      <c r="AE33">
        <v>0</v>
      </c>
    </row>
    <row r="34" spans="1:31" x14ac:dyDescent="0.25">
      <c r="A34" s="1">
        <v>37135</v>
      </c>
      <c r="B34">
        <v>73.4101</v>
      </c>
      <c r="C34">
        <f t="shared" si="0"/>
        <v>-9.3400000000002592E-2</v>
      </c>
      <c r="E34">
        <v>3.0713073880539502E-3</v>
      </c>
      <c r="F34">
        <v>49.950381</v>
      </c>
      <c r="G34">
        <v>54.531404999999999</v>
      </c>
      <c r="H34">
        <v>6.14</v>
      </c>
      <c r="I34">
        <v>6.4</v>
      </c>
      <c r="J34">
        <v>9.32</v>
      </c>
      <c r="K34">
        <v>5.69</v>
      </c>
      <c r="Q34">
        <v>9.4189000000000007</v>
      </c>
      <c r="R34">
        <v>178.1</v>
      </c>
      <c r="S34">
        <v>2.242718308946015</v>
      </c>
      <c r="T34">
        <f t="shared" si="1"/>
        <v>3.1075946960521961</v>
      </c>
      <c r="U34">
        <v>3.9110301326930998</v>
      </c>
      <c r="V34">
        <v>5.1823451902956164</v>
      </c>
      <c r="W34">
        <v>3.5140333665485319</v>
      </c>
      <c r="X34">
        <v>0</v>
      </c>
      <c r="Z34">
        <v>88.748500000000007</v>
      </c>
      <c r="AA34">
        <v>2.5921658986175116</v>
      </c>
      <c r="AB34">
        <v>3.07</v>
      </c>
      <c r="AC34">
        <v>2.1729596259999999</v>
      </c>
      <c r="AE34">
        <v>0</v>
      </c>
    </row>
    <row r="35" spans="1:31" x14ac:dyDescent="0.25">
      <c r="A35" s="1">
        <v>37165</v>
      </c>
      <c r="B35">
        <v>72.584999999999994</v>
      </c>
      <c r="C35">
        <f t="shared" si="0"/>
        <v>-0.82510000000000616</v>
      </c>
      <c r="E35">
        <v>-8.5128188774037401E-3</v>
      </c>
      <c r="F35">
        <v>50.176135000000002</v>
      </c>
      <c r="G35">
        <v>54.668852999999999</v>
      </c>
      <c r="H35">
        <v>5.89</v>
      </c>
      <c r="I35">
        <v>6.12</v>
      </c>
      <c r="J35">
        <v>8.36</v>
      </c>
      <c r="K35">
        <v>5.4</v>
      </c>
      <c r="Q35">
        <v>9.3450000000000006</v>
      </c>
      <c r="R35">
        <v>177.6</v>
      </c>
      <c r="S35">
        <v>2.2348414409075259</v>
      </c>
      <c r="T35">
        <f t="shared" si="1"/>
        <v>-0.78768680384890821</v>
      </c>
      <c r="U35">
        <v>3.9155395152536601</v>
      </c>
      <c r="V35">
        <v>5.1795338305580696</v>
      </c>
      <c r="W35">
        <v>3.4988357562119359</v>
      </c>
      <c r="X35">
        <v>0</v>
      </c>
      <c r="Z35">
        <v>88.505200000000002</v>
      </c>
      <c r="AA35">
        <v>2.1276595744680784</v>
      </c>
      <c r="AB35">
        <v>2.4900000000000002</v>
      </c>
      <c r="AC35">
        <v>1.5747523880000001</v>
      </c>
      <c r="AE35">
        <v>0</v>
      </c>
    </row>
    <row r="36" spans="1:31" x14ac:dyDescent="0.25">
      <c r="A36" s="1">
        <v>37196</v>
      </c>
      <c r="B36">
        <v>72.872500000000002</v>
      </c>
      <c r="C36">
        <f t="shared" si="0"/>
        <v>0.28750000000000853</v>
      </c>
      <c r="E36">
        <v>-4.8453341914598304E-3</v>
      </c>
      <c r="F36">
        <v>50.365149000000002</v>
      </c>
      <c r="G36">
        <v>54.799506999999998</v>
      </c>
      <c r="H36">
        <v>5.39</v>
      </c>
      <c r="I36">
        <v>5.7</v>
      </c>
      <c r="J36">
        <v>7.43</v>
      </c>
      <c r="K36">
        <v>5.0999999999999996</v>
      </c>
      <c r="Q36">
        <v>9.2235999999999994</v>
      </c>
      <c r="R36">
        <v>177.5</v>
      </c>
      <c r="S36">
        <v>2.2217654168920311</v>
      </c>
      <c r="T36">
        <f t="shared" si="1"/>
        <v>-1.3076024015494792</v>
      </c>
      <c r="U36">
        <v>3.919299447793922</v>
      </c>
      <c r="V36">
        <v>5.1789706089154706</v>
      </c>
      <c r="W36">
        <v>3.481436578013581</v>
      </c>
      <c r="X36">
        <v>0</v>
      </c>
      <c r="Z36">
        <v>87.97</v>
      </c>
      <c r="AA36">
        <v>1.8943742824339904</v>
      </c>
      <c r="AB36">
        <v>2.09</v>
      </c>
      <c r="AC36">
        <v>1.13321882</v>
      </c>
      <c r="AE36">
        <v>0</v>
      </c>
    </row>
    <row r="37" spans="1:31" x14ac:dyDescent="0.25">
      <c r="A37" s="1">
        <v>37226</v>
      </c>
      <c r="B37">
        <v>72.711299999999994</v>
      </c>
      <c r="C37">
        <f t="shared" si="0"/>
        <v>-0.161200000000008</v>
      </c>
      <c r="E37">
        <v>-7.3591891553510501E-3</v>
      </c>
      <c r="F37">
        <v>50.434899000000001</v>
      </c>
      <c r="G37">
        <v>54.930759999999999</v>
      </c>
      <c r="H37">
        <v>4.4000000000000004</v>
      </c>
      <c r="I37">
        <v>5.36</v>
      </c>
      <c r="J37">
        <v>6.29</v>
      </c>
      <c r="K37">
        <v>5</v>
      </c>
      <c r="Q37">
        <v>9.1561000000000003</v>
      </c>
      <c r="R37">
        <v>177.4</v>
      </c>
      <c r="S37">
        <v>2.21442032383059</v>
      </c>
      <c r="T37">
        <f t="shared" si="1"/>
        <v>-0.73450930614411547</v>
      </c>
      <c r="U37">
        <v>3.920683375927219</v>
      </c>
      <c r="V37">
        <v>5.1784070698754787</v>
      </c>
      <c r="W37">
        <v>3.472144017778851</v>
      </c>
      <c r="X37">
        <v>0</v>
      </c>
      <c r="Z37">
        <v>87.932400000000001</v>
      </c>
      <c r="AA37">
        <v>1.6036655211913009</v>
      </c>
      <c r="AB37">
        <v>1.82</v>
      </c>
      <c r="AC37">
        <v>0.67466698309999995</v>
      </c>
      <c r="AE37">
        <v>0</v>
      </c>
    </row>
    <row r="38" spans="1:31" x14ac:dyDescent="0.25">
      <c r="A38" s="1">
        <v>37257</v>
      </c>
      <c r="B38">
        <v>71.832499999999996</v>
      </c>
      <c r="C38">
        <f t="shared" si="0"/>
        <v>-0.87879999999999825</v>
      </c>
      <c r="E38">
        <v>-1.9840795732442001E-2</v>
      </c>
      <c r="F38">
        <v>50.900472000000001</v>
      </c>
      <c r="G38">
        <v>55.204765000000002</v>
      </c>
      <c r="H38">
        <v>4.79</v>
      </c>
      <c r="I38">
        <v>5.0999999999999996</v>
      </c>
      <c r="J38">
        <v>6.97</v>
      </c>
      <c r="K38">
        <v>4.55</v>
      </c>
      <c r="Q38">
        <v>9.1616</v>
      </c>
      <c r="R38">
        <v>177.7</v>
      </c>
      <c r="S38">
        <v>2.215020835921659</v>
      </c>
      <c r="T38">
        <f t="shared" si="1"/>
        <v>6.0051209106903869E-2</v>
      </c>
      <c r="U38">
        <v>3.9298721965979611</v>
      </c>
      <c r="V38">
        <v>5.180096735160606</v>
      </c>
      <c r="W38">
        <v>3.465245374484303</v>
      </c>
      <c r="X38">
        <v>0</v>
      </c>
      <c r="Z38">
        <v>88.517600000000002</v>
      </c>
      <c r="AA38">
        <v>1.1958997722095639</v>
      </c>
      <c r="AB38">
        <v>1.73</v>
      </c>
      <c r="AC38">
        <v>0.95337011869999999</v>
      </c>
      <c r="AE38">
        <v>0</v>
      </c>
    </row>
    <row r="39" spans="1:31" x14ac:dyDescent="0.25">
      <c r="A39" s="1">
        <v>37288</v>
      </c>
      <c r="B39">
        <v>71.757000000000005</v>
      </c>
      <c r="C39">
        <f t="shared" si="0"/>
        <v>-7.5499999999991019E-2</v>
      </c>
      <c r="E39">
        <v>-2.1244955151531499E-2</v>
      </c>
      <c r="F39">
        <v>50.867750000000001</v>
      </c>
      <c r="G39">
        <v>55.595315999999997</v>
      </c>
      <c r="H39">
        <v>4.79</v>
      </c>
      <c r="I39">
        <v>5.05</v>
      </c>
      <c r="J39">
        <v>7.91</v>
      </c>
      <c r="K39">
        <v>4.59</v>
      </c>
      <c r="Q39">
        <v>9.0998000000000001</v>
      </c>
      <c r="R39">
        <v>178</v>
      </c>
      <c r="S39">
        <v>2.2082524352593058</v>
      </c>
      <c r="T39">
        <f t="shared" si="1"/>
        <v>-0.67684006623531801</v>
      </c>
      <c r="U39">
        <v>3.929229127465288</v>
      </c>
      <c r="V39">
        <v>5.181783550292085</v>
      </c>
      <c r="W39">
        <v>3.4608068580861029</v>
      </c>
      <c r="X39">
        <v>0</v>
      </c>
      <c r="Z39">
        <v>88.527799999999999</v>
      </c>
      <c r="AA39">
        <v>1.1363636363636365</v>
      </c>
      <c r="AB39">
        <v>1.74</v>
      </c>
      <c r="AC39">
        <v>0.96712499060000001</v>
      </c>
      <c r="AE39">
        <v>0</v>
      </c>
    </row>
    <row r="40" spans="1:31" x14ac:dyDescent="0.25">
      <c r="A40" s="1">
        <v>37316</v>
      </c>
      <c r="B40">
        <v>72.361000000000004</v>
      </c>
      <c r="C40">
        <f t="shared" si="0"/>
        <v>0.6039999999999992</v>
      </c>
      <c r="E40">
        <v>-1.32530189600795E-2</v>
      </c>
      <c r="F40">
        <v>51.127948000000004</v>
      </c>
      <c r="G40">
        <v>55.821657999999999</v>
      </c>
      <c r="H40">
        <v>4.66</v>
      </c>
      <c r="I40">
        <v>4.8499999999999996</v>
      </c>
      <c r="J40">
        <v>7.23</v>
      </c>
      <c r="K40">
        <v>4.46</v>
      </c>
      <c r="Q40">
        <v>9.0707000000000004</v>
      </c>
      <c r="R40">
        <v>178.5</v>
      </c>
      <c r="S40">
        <v>2.2050494386572841</v>
      </c>
      <c r="T40">
        <f t="shared" si="1"/>
        <v>-0.32029966020217238</v>
      </c>
      <c r="U40">
        <v>3.9343312752922301</v>
      </c>
      <c r="V40">
        <v>5.1845886012196933</v>
      </c>
      <c r="W40">
        <v>3.4553067645847468</v>
      </c>
      <c r="X40">
        <v>0</v>
      </c>
      <c r="Z40">
        <v>89.168599999999998</v>
      </c>
      <c r="AA40">
        <v>1.3628620102214684</v>
      </c>
      <c r="AB40">
        <v>1.73</v>
      </c>
      <c r="AC40">
        <v>1.397097005</v>
      </c>
      <c r="AE40">
        <v>0</v>
      </c>
    </row>
    <row r="41" spans="1:31" x14ac:dyDescent="0.25">
      <c r="A41" s="1">
        <v>37347</v>
      </c>
      <c r="B41">
        <v>72.925299999999993</v>
      </c>
      <c r="C41">
        <f t="shared" si="0"/>
        <v>0.5642999999999887</v>
      </c>
      <c r="E41">
        <v>-5.9179633201109604E-3</v>
      </c>
      <c r="F41">
        <v>51.407235</v>
      </c>
      <c r="G41">
        <v>56.020712000000003</v>
      </c>
      <c r="H41">
        <v>4.7</v>
      </c>
      <c r="I41">
        <v>4.72</v>
      </c>
      <c r="J41">
        <v>5.76</v>
      </c>
      <c r="K41">
        <v>4.26</v>
      </c>
      <c r="Q41">
        <v>9.1629000000000005</v>
      </c>
      <c r="R41">
        <v>179.3</v>
      </c>
      <c r="S41">
        <v>2.215162722467233</v>
      </c>
      <c r="T41">
        <f t="shared" si="1"/>
        <v>1.0113283809948914</v>
      </c>
      <c r="U41">
        <v>3.9397789213103991</v>
      </c>
      <c r="V41">
        <v>5.1890603806110871</v>
      </c>
      <c r="W41">
        <v>3.4644441817679201</v>
      </c>
      <c r="X41">
        <v>0</v>
      </c>
      <c r="Z41">
        <v>89.603999999999999</v>
      </c>
      <c r="AA41">
        <v>1.6439909297052187</v>
      </c>
      <c r="AB41">
        <v>1.75</v>
      </c>
      <c r="AC41">
        <v>0.93236591690000004</v>
      </c>
      <c r="AE41">
        <v>0</v>
      </c>
    </row>
    <row r="42" spans="1:31" x14ac:dyDescent="0.25">
      <c r="A42" s="1">
        <v>37377</v>
      </c>
      <c r="B42">
        <v>72.968999999999994</v>
      </c>
      <c r="C42">
        <f t="shared" si="0"/>
        <v>4.3700000000001182E-2</v>
      </c>
      <c r="E42">
        <v>-5.7994110837986702E-3</v>
      </c>
      <c r="F42">
        <v>51.511429</v>
      </c>
      <c r="G42">
        <v>56.124318000000002</v>
      </c>
      <c r="H42">
        <v>4.68</v>
      </c>
      <c r="I42">
        <v>4.54</v>
      </c>
      <c r="J42">
        <v>6.61</v>
      </c>
      <c r="K42">
        <v>4.28</v>
      </c>
      <c r="Q42">
        <v>9.5191999999999997</v>
      </c>
      <c r="R42">
        <v>179.5</v>
      </c>
      <c r="S42">
        <v>2.2533108116588072</v>
      </c>
      <c r="T42">
        <f t="shared" si="1"/>
        <v>3.8148089191574197</v>
      </c>
      <c r="U42">
        <v>3.9418037053786699</v>
      </c>
      <c r="V42">
        <v>5.1901752079283332</v>
      </c>
      <c r="W42">
        <v>3.5016823142084701</v>
      </c>
      <c r="X42">
        <v>0</v>
      </c>
      <c r="Z42">
        <v>89.963999999999999</v>
      </c>
      <c r="AA42">
        <v>1.240834743372808</v>
      </c>
      <c r="AB42">
        <v>1.75</v>
      </c>
      <c r="AC42">
        <v>1.121632832</v>
      </c>
      <c r="AE42">
        <v>0</v>
      </c>
    </row>
    <row r="43" spans="1:31" x14ac:dyDescent="0.25">
      <c r="A43" s="1">
        <v>37408</v>
      </c>
      <c r="B43">
        <v>72.911199999999994</v>
      </c>
      <c r="C43">
        <f t="shared" si="0"/>
        <v>-5.7800000000000296E-2</v>
      </c>
      <c r="E43">
        <v>-7.1238181537580702E-3</v>
      </c>
      <c r="F43">
        <v>51.762585999999999</v>
      </c>
      <c r="G43">
        <v>56.195290999999997</v>
      </c>
      <c r="H43">
        <v>4.9400000000000004</v>
      </c>
      <c r="I43">
        <v>4.34</v>
      </c>
      <c r="J43">
        <v>7.3</v>
      </c>
      <c r="K43">
        <v>4.17</v>
      </c>
      <c r="Q43">
        <v>9.7652000000000001</v>
      </c>
      <c r="R43">
        <v>179.6</v>
      </c>
      <c r="S43">
        <v>2.278825045429707</v>
      </c>
      <c r="T43">
        <f t="shared" si="1"/>
        <v>2.5514233770899786</v>
      </c>
      <c r="U43">
        <v>3.946667610304742</v>
      </c>
      <c r="V43">
        <v>5.1907321558680994</v>
      </c>
      <c r="W43">
        <v>3.5228895909930649</v>
      </c>
      <c r="X43">
        <v>0</v>
      </c>
      <c r="Z43">
        <v>90.706100000000006</v>
      </c>
      <c r="AA43">
        <v>1.0692177827799696</v>
      </c>
      <c r="AB43">
        <v>1.75</v>
      </c>
      <c r="AC43">
        <v>1.02043058</v>
      </c>
      <c r="AE43">
        <v>0</v>
      </c>
    </row>
    <row r="44" spans="1:31" x14ac:dyDescent="0.25">
      <c r="A44" s="1">
        <v>37438</v>
      </c>
      <c r="B44">
        <v>73.197500000000005</v>
      </c>
      <c r="C44">
        <f t="shared" si="0"/>
        <v>0.28630000000001132</v>
      </c>
      <c r="E44">
        <v>-3.7918971317338901E-3</v>
      </c>
      <c r="F44">
        <v>51.911180999999999</v>
      </c>
      <c r="G44">
        <v>56.270828000000002</v>
      </c>
      <c r="H44">
        <v>5.51</v>
      </c>
      <c r="I44">
        <v>4.32</v>
      </c>
      <c r="J44">
        <v>7.38</v>
      </c>
      <c r="K44">
        <v>4.0599999999999996</v>
      </c>
      <c r="Q44">
        <v>9.7807999999999993</v>
      </c>
      <c r="R44">
        <v>180</v>
      </c>
      <c r="S44">
        <v>2.280421280292324</v>
      </c>
      <c r="T44">
        <f t="shared" si="1"/>
        <v>0.1596234862617063</v>
      </c>
      <c r="U44">
        <v>3.9495342004953851</v>
      </c>
      <c r="V44">
        <v>5.1929568508902104</v>
      </c>
      <c r="W44">
        <v>3.5238439306871499</v>
      </c>
      <c r="X44">
        <v>0</v>
      </c>
      <c r="Z44">
        <v>90.676900000000003</v>
      </c>
      <c r="AA44">
        <v>1.4656144306651604</v>
      </c>
      <c r="AB44">
        <v>1.73</v>
      </c>
      <c r="AC44">
        <v>1.1465471819999999</v>
      </c>
      <c r="AE44">
        <v>0</v>
      </c>
    </row>
    <row r="45" spans="1:31" x14ac:dyDescent="0.25">
      <c r="A45" s="1">
        <v>37469</v>
      </c>
      <c r="B45">
        <v>73.792400000000001</v>
      </c>
      <c r="C45">
        <f t="shared" si="0"/>
        <v>0.59489999999999554</v>
      </c>
      <c r="E45">
        <v>3.6572397072607301E-3</v>
      </c>
      <c r="F45">
        <v>52.108559999999997</v>
      </c>
      <c r="G45">
        <v>56.460413000000003</v>
      </c>
      <c r="H45">
        <v>5.29</v>
      </c>
      <c r="I45">
        <v>4.32</v>
      </c>
      <c r="J45">
        <v>6.68</v>
      </c>
      <c r="K45">
        <v>4.0599999999999996</v>
      </c>
      <c r="Q45">
        <v>9.8396000000000008</v>
      </c>
      <c r="R45">
        <v>180.5</v>
      </c>
      <c r="S45">
        <v>2.2864150598314081</v>
      </c>
      <c r="T45">
        <f t="shared" si="1"/>
        <v>0.59937795390840876</v>
      </c>
      <c r="U45">
        <v>3.9533292346878328</v>
      </c>
      <c r="V45">
        <v>5.195730777772936</v>
      </c>
      <c r="W45">
        <v>3.5288166029165109</v>
      </c>
      <c r="X45">
        <v>0</v>
      </c>
      <c r="Z45">
        <v>90.5762</v>
      </c>
      <c r="AA45">
        <v>1.7474633596392299</v>
      </c>
      <c r="AB45">
        <v>1.74</v>
      </c>
      <c r="AC45">
        <v>1.4298022340000001</v>
      </c>
      <c r="AE45">
        <v>0</v>
      </c>
    </row>
    <row r="46" spans="1:31" x14ac:dyDescent="0.25">
      <c r="A46" s="1">
        <v>37500</v>
      </c>
      <c r="B46">
        <v>73.608999999999995</v>
      </c>
      <c r="C46">
        <f t="shared" si="0"/>
        <v>-0.183400000000006</v>
      </c>
      <c r="E46">
        <v>4.6231155810705398E-4</v>
      </c>
      <c r="F46">
        <v>52.421984000000002</v>
      </c>
      <c r="G46">
        <v>56.832216000000003</v>
      </c>
      <c r="H46">
        <v>4.95</v>
      </c>
      <c r="I46">
        <v>4.22</v>
      </c>
      <c r="J46">
        <v>7.34</v>
      </c>
      <c r="K46">
        <v>3.94</v>
      </c>
      <c r="Q46">
        <v>10.071400000000001</v>
      </c>
      <c r="R46">
        <v>180.8</v>
      </c>
      <c r="S46">
        <v>2.309699723879453</v>
      </c>
      <c r="T46">
        <f t="shared" si="1"/>
        <v>2.3284664048044856</v>
      </c>
      <c r="U46">
        <v>3.959326045328599</v>
      </c>
      <c r="V46">
        <v>5.1973914479580774</v>
      </c>
      <c r="W46">
        <v>3.5477651265089309</v>
      </c>
      <c r="X46">
        <v>0</v>
      </c>
      <c r="Z46">
        <v>90.653099999999995</v>
      </c>
      <c r="AA46">
        <v>1.5160022459292628</v>
      </c>
      <c r="AB46">
        <v>1.75</v>
      </c>
      <c r="AC46">
        <v>1.585054169</v>
      </c>
      <c r="AE46">
        <v>0</v>
      </c>
    </row>
    <row r="47" spans="1:31" x14ac:dyDescent="0.25">
      <c r="A47" s="1">
        <v>37530</v>
      </c>
      <c r="B47">
        <v>73.962900000000005</v>
      </c>
      <c r="C47">
        <f t="shared" si="0"/>
        <v>0.3539000000000101</v>
      </c>
      <c r="E47">
        <v>4.4878607628948703E-3</v>
      </c>
      <c r="F47">
        <v>52.653036</v>
      </c>
      <c r="G47">
        <v>56.964748</v>
      </c>
      <c r="H47">
        <v>4.9400000000000004</v>
      </c>
      <c r="I47">
        <v>4.2</v>
      </c>
      <c r="J47">
        <v>7.66</v>
      </c>
      <c r="K47">
        <v>4.12</v>
      </c>
      <c r="Q47">
        <v>10.095000000000001</v>
      </c>
      <c r="R47">
        <v>181.2</v>
      </c>
      <c r="S47">
        <v>2.3120402517648011</v>
      </c>
      <c r="T47">
        <f t="shared" si="1"/>
        <v>0.23405278853481093</v>
      </c>
      <c r="U47">
        <v>3.9637239007351539</v>
      </c>
      <c r="V47">
        <v>5.1996013936088792</v>
      </c>
      <c r="W47">
        <v>3.5479177446385259</v>
      </c>
      <c r="X47">
        <v>0</v>
      </c>
      <c r="Z47">
        <v>90.464299999999994</v>
      </c>
      <c r="AA47">
        <v>2.0270270270270241</v>
      </c>
      <c r="AB47">
        <v>1.75</v>
      </c>
      <c r="AC47">
        <v>1.443558186</v>
      </c>
      <c r="AE47">
        <v>0</v>
      </c>
    </row>
    <row r="48" spans="1:31" x14ac:dyDescent="0.25">
      <c r="A48" s="1">
        <v>37561</v>
      </c>
      <c r="B48">
        <v>73.5167</v>
      </c>
      <c r="C48">
        <f t="shared" si="0"/>
        <v>-0.44620000000000459</v>
      </c>
      <c r="E48">
        <v>-2.4013841939556401E-3</v>
      </c>
      <c r="F48">
        <v>53.078876999999999</v>
      </c>
      <c r="G48">
        <v>57.074556999999999</v>
      </c>
      <c r="H48">
        <v>5.39</v>
      </c>
      <c r="I48">
        <v>4.1500000000000004</v>
      </c>
      <c r="J48">
        <v>7.3</v>
      </c>
      <c r="K48">
        <v>4.0999999999999996</v>
      </c>
      <c r="Q48">
        <v>10.1975</v>
      </c>
      <c r="R48">
        <v>181.5</v>
      </c>
      <c r="S48">
        <v>2.322142592209576</v>
      </c>
      <c r="T48">
        <f t="shared" si="1"/>
        <v>1.0102340444774871</v>
      </c>
      <c r="U48">
        <v>3.9717790524956631</v>
      </c>
      <c r="V48">
        <v>5.2012556537049051</v>
      </c>
      <c r="W48">
        <v>3.5516191934188188</v>
      </c>
      <c r="X48">
        <v>0</v>
      </c>
      <c r="Z48">
        <v>90.971100000000007</v>
      </c>
      <c r="AA48">
        <v>2.2535211267605635</v>
      </c>
      <c r="AB48">
        <v>1.34</v>
      </c>
      <c r="AC48">
        <v>1.1434205589999999</v>
      </c>
      <c r="AE48">
        <v>0</v>
      </c>
    </row>
    <row r="49" spans="1:31" x14ac:dyDescent="0.25">
      <c r="A49" s="1">
        <v>37591</v>
      </c>
      <c r="B49">
        <v>73.563400000000001</v>
      </c>
      <c r="C49">
        <f t="shared" si="0"/>
        <v>4.6700000000001296E-2</v>
      </c>
      <c r="E49">
        <v>-2.6755136150651299E-3</v>
      </c>
      <c r="F49">
        <v>53.309930000000001</v>
      </c>
      <c r="G49">
        <v>57.193334</v>
      </c>
      <c r="H49">
        <v>5.7</v>
      </c>
      <c r="I49">
        <v>4.12</v>
      </c>
      <c r="J49">
        <v>6.88</v>
      </c>
      <c r="K49">
        <v>4.13</v>
      </c>
      <c r="L49">
        <v>3.67</v>
      </c>
      <c r="Q49">
        <v>10.2249</v>
      </c>
      <c r="R49">
        <v>181.8</v>
      </c>
      <c r="S49">
        <v>2.324825921929941</v>
      </c>
      <c r="T49">
        <f t="shared" si="1"/>
        <v>0.26833297203650019</v>
      </c>
      <c r="U49">
        <v>3.9761226177593381</v>
      </c>
      <c r="V49">
        <v>5.2029071817433783</v>
      </c>
      <c r="W49">
        <v>3.5516104859139821</v>
      </c>
      <c r="X49">
        <v>0</v>
      </c>
      <c r="Z49">
        <v>90.465199999999996</v>
      </c>
      <c r="AA49">
        <v>2.4802705749718181</v>
      </c>
      <c r="AB49">
        <v>1.24</v>
      </c>
      <c r="AC49">
        <v>1.1245793040000001</v>
      </c>
      <c r="AE49">
        <v>0</v>
      </c>
    </row>
    <row r="50" spans="1:31" x14ac:dyDescent="0.25">
      <c r="A50" s="1">
        <v>37622</v>
      </c>
      <c r="B50">
        <v>73.512699999999995</v>
      </c>
      <c r="C50">
        <f t="shared" si="0"/>
        <v>-5.0700000000006185E-2</v>
      </c>
      <c r="E50">
        <v>-4.3483642939037299E-3</v>
      </c>
      <c r="F50">
        <v>53.525441000000001</v>
      </c>
      <c r="G50">
        <v>57.447814000000001</v>
      </c>
      <c r="H50">
        <v>5.16</v>
      </c>
      <c r="I50">
        <v>4.0599999999999996</v>
      </c>
      <c r="J50">
        <v>8.27</v>
      </c>
      <c r="K50">
        <v>4.3</v>
      </c>
      <c r="Q50">
        <v>10.6203</v>
      </c>
      <c r="R50">
        <v>182.6</v>
      </c>
      <c r="S50">
        <v>2.3627672640023798</v>
      </c>
      <c r="T50">
        <f t="shared" si="1"/>
        <v>3.7941342072438822</v>
      </c>
      <c r="U50">
        <v>3.9801570735823941</v>
      </c>
      <c r="V50">
        <v>5.2072979681608684</v>
      </c>
      <c r="W50">
        <v>3.589908158580855</v>
      </c>
      <c r="X50">
        <v>0</v>
      </c>
      <c r="Z50">
        <v>91.236099999999993</v>
      </c>
      <c r="AA50">
        <v>2.7574563871693902</v>
      </c>
      <c r="AB50">
        <v>1.24</v>
      </c>
      <c r="AC50">
        <v>1.016596002</v>
      </c>
      <c r="AE50">
        <v>0</v>
      </c>
    </row>
    <row r="51" spans="1:31" x14ac:dyDescent="0.25">
      <c r="A51" s="1">
        <v>37653</v>
      </c>
      <c r="B51">
        <v>73.953900000000004</v>
      </c>
      <c r="C51">
        <f t="shared" si="0"/>
        <v>0.44120000000000914</v>
      </c>
      <c r="E51">
        <v>5.7458484240324704E-4</v>
      </c>
      <c r="F51">
        <v>53.674121999999997</v>
      </c>
      <c r="G51">
        <v>57.732888000000003</v>
      </c>
      <c r="H51">
        <v>5.52</v>
      </c>
      <c r="I51">
        <v>3.84</v>
      </c>
      <c r="J51">
        <v>9.0399999999999991</v>
      </c>
      <c r="K51">
        <v>4.3099999999999996</v>
      </c>
      <c r="Q51">
        <v>10.937200000000001</v>
      </c>
      <c r="R51">
        <v>183.6</v>
      </c>
      <c r="S51">
        <v>2.3921698227361339</v>
      </c>
      <c r="T51">
        <f t="shared" si="1"/>
        <v>2.9402558733754081</v>
      </c>
      <c r="U51">
        <v>3.982930985922625</v>
      </c>
      <c r="V51">
        <v>5.2127594781863902</v>
      </c>
      <c r="W51">
        <v>3.6219983149998991</v>
      </c>
      <c r="X51">
        <v>0</v>
      </c>
      <c r="Z51">
        <v>91.344499999999996</v>
      </c>
      <c r="AA51">
        <v>3.1460674157303337</v>
      </c>
      <c r="AB51">
        <v>1.26</v>
      </c>
      <c r="AC51">
        <v>1.155716797</v>
      </c>
      <c r="AE51">
        <v>0</v>
      </c>
    </row>
    <row r="52" spans="1:31" x14ac:dyDescent="0.25">
      <c r="A52" s="1">
        <v>37681</v>
      </c>
      <c r="B52">
        <v>73.412000000000006</v>
      </c>
      <c r="C52">
        <f t="shared" si="0"/>
        <v>-0.54189999999999827</v>
      </c>
      <c r="E52">
        <v>-7.9209415961099001E-3</v>
      </c>
      <c r="F52">
        <v>54.012929999999997</v>
      </c>
      <c r="G52">
        <v>57.967464</v>
      </c>
      <c r="H52">
        <v>5.64</v>
      </c>
      <c r="I52">
        <v>3.84</v>
      </c>
      <c r="J52">
        <v>9.17</v>
      </c>
      <c r="K52">
        <v>4.1399999999999997</v>
      </c>
      <c r="Q52">
        <v>10.9124</v>
      </c>
      <c r="R52">
        <v>183.9</v>
      </c>
      <c r="S52">
        <v>2.3898997573207539</v>
      </c>
      <c r="T52">
        <f t="shared" si="1"/>
        <v>-0.2270065415379996</v>
      </c>
      <c r="U52">
        <v>3.9892234623464731</v>
      </c>
      <c r="V52">
        <v>5.2143921316102757</v>
      </c>
      <c r="W52">
        <v>3.615068426584557</v>
      </c>
      <c r="X52">
        <v>0</v>
      </c>
      <c r="Z52">
        <v>91.104399999999998</v>
      </c>
      <c r="AA52">
        <v>3.0252100840336165</v>
      </c>
      <c r="AB52">
        <v>1.25</v>
      </c>
      <c r="AC52">
        <v>1.0589408570000001</v>
      </c>
      <c r="AE52">
        <v>0</v>
      </c>
    </row>
    <row r="53" spans="1:31" x14ac:dyDescent="0.25">
      <c r="A53" s="1">
        <v>37712</v>
      </c>
      <c r="B53">
        <v>73.504099999999994</v>
      </c>
      <c r="C53">
        <f t="shared" si="0"/>
        <v>9.2099999999987858E-2</v>
      </c>
      <c r="E53">
        <v>-7.89125748497632E-3</v>
      </c>
      <c r="F53">
        <v>54.105144000000003</v>
      </c>
      <c r="G53">
        <v>58.163806999999998</v>
      </c>
      <c r="H53">
        <v>5.25</v>
      </c>
      <c r="I53">
        <v>3.83</v>
      </c>
      <c r="J53">
        <v>7.86</v>
      </c>
      <c r="K53">
        <v>4.03</v>
      </c>
      <c r="Q53">
        <v>10.591699999999999</v>
      </c>
      <c r="R53">
        <v>183.2</v>
      </c>
      <c r="S53">
        <v>2.360070675530701</v>
      </c>
      <c r="T53">
        <f t="shared" si="1"/>
        <v>-2.9829081790052836</v>
      </c>
      <c r="U53">
        <v>3.9909292645116139</v>
      </c>
      <c r="V53">
        <v>5.2105784522400302</v>
      </c>
      <c r="W53">
        <v>3.5797198632591178</v>
      </c>
      <c r="X53">
        <v>0</v>
      </c>
      <c r="Z53">
        <v>90.561700000000002</v>
      </c>
      <c r="AA53">
        <v>2.1751254880089106</v>
      </c>
      <c r="AB53">
        <v>1.26</v>
      </c>
      <c r="AC53">
        <v>1.012946033</v>
      </c>
      <c r="AE53">
        <v>0</v>
      </c>
    </row>
    <row r="54" spans="1:31" x14ac:dyDescent="0.25">
      <c r="A54" s="1">
        <v>37742</v>
      </c>
      <c r="B54">
        <v>73.290300000000002</v>
      </c>
      <c r="C54">
        <f t="shared" si="0"/>
        <v>-0.213799999999992</v>
      </c>
      <c r="E54">
        <v>-1.21136713069969E-2</v>
      </c>
      <c r="F54">
        <v>53.93056</v>
      </c>
      <c r="G54">
        <v>58.318103000000001</v>
      </c>
      <c r="H54">
        <v>4.7</v>
      </c>
      <c r="I54">
        <v>3.91</v>
      </c>
      <c r="J54">
        <v>5.25</v>
      </c>
      <c r="K54">
        <v>4.25</v>
      </c>
      <c r="Q54">
        <v>10.251200000000001</v>
      </c>
      <c r="R54">
        <v>182.9</v>
      </c>
      <c r="S54">
        <v>2.32739477190262</v>
      </c>
      <c r="T54">
        <f t="shared" si="1"/>
        <v>-3.2675903628081038</v>
      </c>
      <c r="U54">
        <v>3.9876972931261161</v>
      </c>
      <c r="V54">
        <v>5.2089395553968201</v>
      </c>
      <c r="W54">
        <v>3.548637034173324</v>
      </c>
      <c r="X54">
        <v>0</v>
      </c>
      <c r="Z54">
        <v>90.537000000000006</v>
      </c>
      <c r="AA54">
        <v>1.8941504178273012</v>
      </c>
      <c r="AB54">
        <v>1.26</v>
      </c>
      <c r="AC54">
        <v>1.2786350790000001</v>
      </c>
      <c r="AE54">
        <v>0</v>
      </c>
    </row>
    <row r="55" spans="1:31" x14ac:dyDescent="0.25">
      <c r="A55" s="1">
        <v>37773</v>
      </c>
      <c r="B55">
        <v>73.894999999999996</v>
      </c>
      <c r="C55">
        <f t="shared" si="0"/>
        <v>0.60469999999999402</v>
      </c>
      <c r="E55">
        <v>-5.2934379298443801E-3</v>
      </c>
      <c r="F55">
        <v>53.975112000000003</v>
      </c>
      <c r="G55">
        <v>58.381587000000003</v>
      </c>
      <c r="H55">
        <v>4.2699999999999996</v>
      </c>
      <c r="I55">
        <v>3.89</v>
      </c>
      <c r="J55">
        <v>5.2</v>
      </c>
      <c r="K55">
        <v>4.18</v>
      </c>
      <c r="Q55">
        <v>10.5047</v>
      </c>
      <c r="R55">
        <v>183.1</v>
      </c>
      <c r="S55">
        <v>2.351822776059576</v>
      </c>
      <c r="T55">
        <f t="shared" si="1"/>
        <v>2.4428004156956007</v>
      </c>
      <c r="U55">
        <v>3.988523051433456</v>
      </c>
      <c r="V55">
        <v>5.2100324516804646</v>
      </c>
      <c r="W55">
        <v>3.5733321763065842</v>
      </c>
      <c r="X55">
        <v>0</v>
      </c>
      <c r="Z55">
        <v>90.652699999999996</v>
      </c>
      <c r="AA55">
        <v>1.9487750556792873</v>
      </c>
      <c r="AB55">
        <v>1.22</v>
      </c>
      <c r="AC55">
        <v>1.1003859199999999</v>
      </c>
      <c r="AE55">
        <v>0</v>
      </c>
    </row>
    <row r="56" spans="1:31" x14ac:dyDescent="0.25">
      <c r="A56" s="1">
        <v>37803</v>
      </c>
      <c r="B56">
        <v>73.917500000000004</v>
      </c>
      <c r="C56">
        <f t="shared" si="0"/>
        <v>2.2500000000007958E-2</v>
      </c>
      <c r="E56">
        <v>-6.4737656089386402E-3</v>
      </c>
      <c r="F56">
        <v>54.053339000000001</v>
      </c>
      <c r="G56">
        <v>58.460811</v>
      </c>
      <c r="H56">
        <v>4.13</v>
      </c>
      <c r="I56">
        <v>3.89</v>
      </c>
      <c r="J56">
        <v>4.57</v>
      </c>
      <c r="K56">
        <v>4.13</v>
      </c>
      <c r="Q56">
        <v>10.450200000000001</v>
      </c>
      <c r="R56">
        <v>183.7</v>
      </c>
      <c r="S56">
        <v>2.3466211169836568</v>
      </c>
      <c r="T56">
        <f t="shared" si="1"/>
        <v>-0.5201659075919185</v>
      </c>
      <c r="U56">
        <v>3.98997131831036</v>
      </c>
      <c r="V56">
        <v>5.2133039922210802</v>
      </c>
      <c r="W56">
        <v>3.569953790894377</v>
      </c>
      <c r="X56">
        <v>0</v>
      </c>
      <c r="Y56">
        <v>-8</v>
      </c>
      <c r="Z56">
        <v>91.118499999999997</v>
      </c>
      <c r="AA56">
        <v>2.0555555555555491</v>
      </c>
      <c r="AB56">
        <v>1.01</v>
      </c>
      <c r="AC56">
        <v>0.93733672690000003</v>
      </c>
      <c r="AE56">
        <v>0</v>
      </c>
    </row>
    <row r="57" spans="1:31" x14ac:dyDescent="0.25">
      <c r="A57" s="1">
        <v>37834</v>
      </c>
      <c r="B57">
        <v>73.2333</v>
      </c>
      <c r="C57">
        <f t="shared" si="0"/>
        <v>-0.68420000000000414</v>
      </c>
      <c r="E57">
        <v>-1.7346567158290901E-2</v>
      </c>
      <c r="F57">
        <v>54.215490000000003</v>
      </c>
      <c r="G57">
        <v>58.670136999999997</v>
      </c>
      <c r="H57">
        <v>4.04</v>
      </c>
      <c r="I57">
        <v>3.91</v>
      </c>
      <c r="J57">
        <v>4.45</v>
      </c>
      <c r="K57">
        <v>4.04</v>
      </c>
      <c r="Q57">
        <v>10.7811</v>
      </c>
      <c r="R57">
        <v>184.5</v>
      </c>
      <c r="S57">
        <v>2.377794601091368</v>
      </c>
      <c r="T57">
        <f t="shared" si="1"/>
        <v>3.1173484107711147</v>
      </c>
      <c r="U57">
        <v>3.9929666609723919</v>
      </c>
      <c r="V57">
        <v>5.2176494634805817</v>
      </c>
      <c r="W57">
        <v>3.6024774035995568</v>
      </c>
      <c r="X57">
        <v>0</v>
      </c>
      <c r="Y57">
        <v>-4</v>
      </c>
      <c r="Z57">
        <v>90.919700000000006</v>
      </c>
      <c r="AA57">
        <v>2.21606648199446</v>
      </c>
      <c r="AB57">
        <v>1.03</v>
      </c>
      <c r="AC57">
        <v>0.73519715630000004</v>
      </c>
      <c r="AE57">
        <v>0</v>
      </c>
    </row>
    <row r="58" spans="1:31" x14ac:dyDescent="0.25">
      <c r="A58" s="1">
        <v>37865</v>
      </c>
      <c r="B58">
        <v>73.457899999999995</v>
      </c>
      <c r="C58">
        <f t="shared" si="0"/>
        <v>0.22459999999999525</v>
      </c>
      <c r="E58">
        <v>-1.5946555970646901E-2</v>
      </c>
      <c r="F58">
        <v>54.538238</v>
      </c>
      <c r="G58">
        <v>58.951360000000001</v>
      </c>
      <c r="H58">
        <v>4.04</v>
      </c>
      <c r="I58">
        <v>3.73</v>
      </c>
      <c r="J58">
        <v>4.7300000000000004</v>
      </c>
      <c r="K58">
        <v>3.99</v>
      </c>
      <c r="Q58">
        <v>10.9269</v>
      </c>
      <c r="R58">
        <v>185.1</v>
      </c>
      <c r="S58">
        <v>2.3912276389040121</v>
      </c>
      <c r="T58">
        <f t="shared" si="1"/>
        <v>1.3433037812644155</v>
      </c>
      <c r="U58">
        <v>3.9989020703315838</v>
      </c>
      <c r="V58">
        <v>5.2208962195794522</v>
      </c>
      <c r="W58">
        <v>3.61322178815188</v>
      </c>
      <c r="X58">
        <v>0</v>
      </c>
      <c r="Y58">
        <v>0.5</v>
      </c>
      <c r="Z58">
        <v>91.505899999999997</v>
      </c>
      <c r="AA58">
        <v>2.378318584070787</v>
      </c>
      <c r="AB58">
        <v>1.01</v>
      </c>
      <c r="AC58">
        <v>0.85558646920000003</v>
      </c>
      <c r="AE58">
        <v>0</v>
      </c>
    </row>
    <row r="59" spans="1:31" x14ac:dyDescent="0.25">
      <c r="A59" s="1">
        <v>37895</v>
      </c>
      <c r="B59">
        <v>73.749499999999998</v>
      </c>
      <c r="C59">
        <f t="shared" si="0"/>
        <v>0.29160000000000252</v>
      </c>
      <c r="E59">
        <v>-1.37346829242047E-2</v>
      </c>
      <c r="F59">
        <v>54.738207000000003</v>
      </c>
      <c r="G59">
        <v>59.077888999999999</v>
      </c>
      <c r="H59">
        <v>3.96</v>
      </c>
      <c r="I59">
        <v>3.71</v>
      </c>
      <c r="J59">
        <v>5.1100000000000003</v>
      </c>
      <c r="K59">
        <v>3.91</v>
      </c>
      <c r="Q59">
        <v>11.174799999999999</v>
      </c>
      <c r="R59">
        <v>184.9</v>
      </c>
      <c r="S59">
        <v>2.4136612432477551</v>
      </c>
      <c r="T59">
        <f t="shared" si="1"/>
        <v>2.2433604343742974</v>
      </c>
      <c r="U59">
        <v>4.002561948235015</v>
      </c>
      <c r="V59">
        <v>5.2198151383930789</v>
      </c>
      <c r="W59">
        <v>3.630914433405819</v>
      </c>
      <c r="X59">
        <v>0</v>
      </c>
      <c r="Y59">
        <v>-8</v>
      </c>
      <c r="Z59">
        <v>91.618600000000001</v>
      </c>
      <c r="AA59">
        <v>2.0419426048565215</v>
      </c>
      <c r="AB59">
        <v>1.01</v>
      </c>
      <c r="AC59">
        <v>0.83359612930000004</v>
      </c>
      <c r="AE59">
        <v>0</v>
      </c>
    </row>
    <row r="60" spans="1:31" x14ac:dyDescent="0.25">
      <c r="A60" s="1">
        <v>37926</v>
      </c>
      <c r="B60">
        <v>73.886300000000006</v>
      </c>
      <c r="C60">
        <f t="shared" si="0"/>
        <v>0.13680000000000803</v>
      </c>
      <c r="E60">
        <v>-1.3716846358269299E-2</v>
      </c>
      <c r="F60">
        <v>55.192542000000003</v>
      </c>
      <c r="G60">
        <v>59.2331</v>
      </c>
      <c r="H60">
        <v>3.98</v>
      </c>
      <c r="I60">
        <v>3.78</v>
      </c>
      <c r="J60">
        <v>4.99</v>
      </c>
      <c r="K60">
        <v>3.79</v>
      </c>
      <c r="Q60">
        <v>11.145</v>
      </c>
      <c r="R60">
        <v>185</v>
      </c>
      <c r="S60">
        <v>2.410990966837832</v>
      </c>
      <c r="T60">
        <f t="shared" si="1"/>
        <v>-0.26702764099231224</v>
      </c>
      <c r="U60">
        <v>4.0108278354593958</v>
      </c>
      <c r="V60">
        <v>5.2203558250783244</v>
      </c>
      <c r="W60">
        <v>3.620518956456761</v>
      </c>
      <c r="X60">
        <v>0</v>
      </c>
      <c r="Y60">
        <v>8</v>
      </c>
      <c r="Z60">
        <v>92.232900000000001</v>
      </c>
      <c r="AA60">
        <v>1.9283746556473829</v>
      </c>
      <c r="AB60">
        <v>1</v>
      </c>
      <c r="AC60">
        <v>0.8742364145</v>
      </c>
      <c r="AE60">
        <v>0</v>
      </c>
    </row>
    <row r="61" spans="1:31" x14ac:dyDescent="0.25">
      <c r="A61" s="1">
        <v>37956</v>
      </c>
      <c r="B61">
        <v>74.779200000000003</v>
      </c>
      <c r="C61">
        <f t="shared" si="0"/>
        <v>0.89289999999999736</v>
      </c>
      <c r="E61">
        <v>-3.6222030332595501E-3</v>
      </c>
      <c r="F61">
        <v>55.429811000000001</v>
      </c>
      <c r="G61">
        <v>59.404460999999998</v>
      </c>
      <c r="H61">
        <v>3.98</v>
      </c>
      <c r="I61">
        <v>3.87</v>
      </c>
      <c r="J61">
        <v>6.06</v>
      </c>
      <c r="K61">
        <v>3.83</v>
      </c>
      <c r="Q61">
        <v>11.2486</v>
      </c>
      <c r="R61">
        <v>185.5</v>
      </c>
      <c r="S61">
        <v>2.4202436764621318</v>
      </c>
      <c r="T61">
        <f t="shared" si="1"/>
        <v>0.92527096242998041</v>
      </c>
      <c r="U61">
        <v>4.015117553719965</v>
      </c>
      <c r="V61">
        <v>5.2230548820474896</v>
      </c>
      <c r="W61">
        <v>3.6281810047896572</v>
      </c>
      <c r="X61">
        <v>0</v>
      </c>
      <c r="Y61">
        <v>-8</v>
      </c>
      <c r="Z61">
        <v>92.260199999999998</v>
      </c>
      <c r="AA61">
        <v>2.0352035203520287</v>
      </c>
      <c r="AB61">
        <v>0.98</v>
      </c>
      <c r="AC61">
        <v>0.74009550440000005</v>
      </c>
      <c r="AE61">
        <v>0</v>
      </c>
    </row>
    <row r="62" spans="1:31" x14ac:dyDescent="0.25">
      <c r="A62" s="1">
        <v>37987</v>
      </c>
      <c r="B62">
        <v>75.130099999999999</v>
      </c>
      <c r="C62">
        <f t="shared" si="0"/>
        <v>0.35089999999999577</v>
      </c>
      <c r="E62">
        <v>-9.3662399691307697E-4</v>
      </c>
      <c r="F62">
        <v>55.774317000000003</v>
      </c>
      <c r="G62">
        <v>59.633096999999999</v>
      </c>
      <c r="H62">
        <v>4.2</v>
      </c>
      <c r="I62">
        <v>3.8</v>
      </c>
      <c r="J62">
        <v>4.95</v>
      </c>
      <c r="K62">
        <v>3.89</v>
      </c>
      <c r="L62">
        <v>3.53</v>
      </c>
      <c r="M62">
        <v>3.5</v>
      </c>
      <c r="Q62">
        <v>10.915100000000001</v>
      </c>
      <c r="R62">
        <v>186.3</v>
      </c>
      <c r="S62">
        <v>2.3901471516640158</v>
      </c>
      <c r="T62">
        <f t="shared" si="1"/>
        <v>-3.0096524798115976</v>
      </c>
      <c r="U62">
        <v>4.0213134946138558</v>
      </c>
      <c r="V62">
        <v>5.2273582776075429</v>
      </c>
      <c r="W62">
        <v>3.5961919346577029</v>
      </c>
      <c r="X62">
        <v>0</v>
      </c>
      <c r="Y62">
        <v>-15</v>
      </c>
      <c r="Z62">
        <v>92.400599999999997</v>
      </c>
      <c r="AA62">
        <v>2.0262869660460114</v>
      </c>
      <c r="AB62">
        <v>1</v>
      </c>
      <c r="AC62">
        <v>0.75299117989999997</v>
      </c>
      <c r="AE62">
        <v>0</v>
      </c>
    </row>
    <row r="63" spans="1:31" x14ac:dyDescent="0.25">
      <c r="A63" s="1">
        <v>38018</v>
      </c>
      <c r="B63">
        <v>75.354500000000002</v>
      </c>
      <c r="C63">
        <f t="shared" si="0"/>
        <v>0.22440000000000282</v>
      </c>
      <c r="E63" s="2">
        <v>-2.40500374175667E-5</v>
      </c>
      <c r="F63">
        <v>56.107945000000001</v>
      </c>
      <c r="G63">
        <v>59.901848999999999</v>
      </c>
      <c r="H63">
        <v>4.53</v>
      </c>
      <c r="I63">
        <v>3.76</v>
      </c>
      <c r="J63">
        <v>5.57</v>
      </c>
      <c r="K63">
        <v>3.9</v>
      </c>
      <c r="L63">
        <v>3.45</v>
      </c>
      <c r="M63">
        <v>3.5</v>
      </c>
      <c r="Q63">
        <v>11.014200000000001</v>
      </c>
      <c r="R63">
        <v>186.7</v>
      </c>
      <c r="S63">
        <v>2.399185349382523</v>
      </c>
      <c r="T63">
        <f t="shared" si="1"/>
        <v>0.90381977185072238</v>
      </c>
      <c r="U63">
        <v>4.0272774246045744</v>
      </c>
      <c r="V63">
        <v>5.2295030505476774</v>
      </c>
      <c r="W63">
        <v>3.6014109753256252</v>
      </c>
      <c r="X63">
        <v>0</v>
      </c>
      <c r="Y63">
        <v>11.5</v>
      </c>
      <c r="Z63">
        <v>92.957999999999998</v>
      </c>
      <c r="AA63">
        <v>1.6884531590413914</v>
      </c>
      <c r="AB63">
        <v>1.01</v>
      </c>
      <c r="AC63">
        <v>0.74652051370000005</v>
      </c>
      <c r="AE63">
        <v>0</v>
      </c>
    </row>
    <row r="64" spans="1:31" x14ac:dyDescent="0.25">
      <c r="A64" s="1">
        <v>38047</v>
      </c>
      <c r="B64">
        <v>76.281000000000006</v>
      </c>
      <c r="C64">
        <f t="shared" si="0"/>
        <v>0.92650000000000432</v>
      </c>
      <c r="E64">
        <v>1.00569587571373E-2</v>
      </c>
      <c r="F64">
        <v>56.298071</v>
      </c>
      <c r="G64">
        <v>60.121521000000001</v>
      </c>
      <c r="H64">
        <v>4.2300000000000004</v>
      </c>
      <c r="I64">
        <v>3.72</v>
      </c>
      <c r="J64">
        <v>6.28</v>
      </c>
      <c r="K64">
        <v>3.8</v>
      </c>
      <c r="L64">
        <v>3.5</v>
      </c>
      <c r="M64">
        <v>3.59</v>
      </c>
      <c r="Q64">
        <v>11.009399999999999</v>
      </c>
      <c r="R64">
        <v>187.1</v>
      </c>
      <c r="S64">
        <v>2.3987494533368259</v>
      </c>
      <c r="T64">
        <f t="shared" si="1"/>
        <v>-4.3589604569715945E-2</v>
      </c>
      <c r="U64">
        <v>4.0306602716812163</v>
      </c>
      <c r="V64">
        <v>5.2316432332800442</v>
      </c>
      <c r="W64">
        <v>3.5997324149356542</v>
      </c>
      <c r="X64">
        <v>0</v>
      </c>
      <c r="Y64">
        <v>12</v>
      </c>
      <c r="Z64">
        <v>92.586100000000002</v>
      </c>
      <c r="AA64">
        <v>1.7400761283306081</v>
      </c>
      <c r="AB64">
        <v>1</v>
      </c>
      <c r="AC64">
        <v>0.90794365749999995</v>
      </c>
      <c r="AE64">
        <v>0</v>
      </c>
    </row>
    <row r="65" spans="1:31" x14ac:dyDescent="0.25">
      <c r="A65" s="1">
        <v>38078</v>
      </c>
      <c r="B65">
        <v>76.020899999999997</v>
      </c>
      <c r="C65">
        <f t="shared" si="0"/>
        <v>-0.26010000000000844</v>
      </c>
      <c r="E65">
        <v>4.4371148372208697E-3</v>
      </c>
      <c r="F65">
        <v>56.383032</v>
      </c>
      <c r="G65">
        <v>60.319549000000002</v>
      </c>
      <c r="H65">
        <v>4.21</v>
      </c>
      <c r="I65">
        <v>3.71</v>
      </c>
      <c r="J65">
        <v>5.98</v>
      </c>
      <c r="K65">
        <v>3.9</v>
      </c>
      <c r="L65">
        <v>3.49</v>
      </c>
      <c r="M65">
        <v>3.58</v>
      </c>
      <c r="Q65">
        <v>11.2751</v>
      </c>
      <c r="R65">
        <v>187.4</v>
      </c>
      <c r="S65">
        <v>2.4225967545290121</v>
      </c>
      <c r="T65">
        <f t="shared" si="1"/>
        <v>2.3847301192186254</v>
      </c>
      <c r="U65">
        <v>4.0321682621754231</v>
      </c>
      <c r="V65">
        <v>5.2332453698043224</v>
      </c>
      <c r="W65">
        <v>3.623673862157911</v>
      </c>
      <c r="X65">
        <v>0</v>
      </c>
      <c r="Y65">
        <v>19</v>
      </c>
      <c r="Z65">
        <v>92.93</v>
      </c>
      <c r="AA65">
        <v>2.2925764192139835</v>
      </c>
      <c r="AB65">
        <v>1</v>
      </c>
      <c r="AC65">
        <v>0.86926484680000005</v>
      </c>
      <c r="AE65">
        <v>0</v>
      </c>
    </row>
    <row r="66" spans="1:31" x14ac:dyDescent="0.25">
      <c r="A66" s="1">
        <v>38108</v>
      </c>
      <c r="B66">
        <v>76.147800000000004</v>
      </c>
      <c r="C66">
        <f t="shared" si="0"/>
        <v>0.12690000000000623</v>
      </c>
      <c r="E66">
        <v>3.8394514082016299E-3</v>
      </c>
      <c r="F66">
        <v>56.241602999999998</v>
      </c>
      <c r="G66">
        <v>60.458742999999998</v>
      </c>
      <c r="H66">
        <v>4.29</v>
      </c>
      <c r="I66">
        <v>3.67</v>
      </c>
      <c r="J66">
        <v>6.59</v>
      </c>
      <c r="K66">
        <v>3.97</v>
      </c>
      <c r="L66">
        <v>3.5</v>
      </c>
      <c r="M66">
        <v>3.6</v>
      </c>
      <c r="Q66">
        <v>11.5124</v>
      </c>
      <c r="R66">
        <v>188.2</v>
      </c>
      <c r="S66">
        <v>2.4434247153330588</v>
      </c>
      <c r="T66">
        <f t="shared" si="1"/>
        <v>2.0827960804046697</v>
      </c>
      <c r="U66">
        <v>4.0296567499411609</v>
      </c>
      <c r="V66">
        <v>5.2375052271512796</v>
      </c>
      <c r="W66">
        <v>3.6512731925431781</v>
      </c>
      <c r="X66">
        <v>0</v>
      </c>
      <c r="Y66">
        <v>11</v>
      </c>
      <c r="Z66">
        <v>93.601299999999995</v>
      </c>
      <c r="AA66">
        <v>2.897758337889548</v>
      </c>
      <c r="AB66">
        <v>1</v>
      </c>
      <c r="AC66">
        <v>1.067755461</v>
      </c>
      <c r="AE66">
        <v>0</v>
      </c>
    </row>
    <row r="67" spans="1:31" x14ac:dyDescent="0.25">
      <c r="A67" s="1">
        <v>38139</v>
      </c>
      <c r="B67">
        <v>76.506200000000007</v>
      </c>
      <c r="C67">
        <f t="shared" si="0"/>
        <v>0.35840000000000316</v>
      </c>
      <c r="E67">
        <v>6.2116210435840804E-3</v>
      </c>
      <c r="F67">
        <v>56.331744999999998</v>
      </c>
      <c r="G67">
        <v>60.619554000000001</v>
      </c>
      <c r="H67">
        <v>4.37</v>
      </c>
      <c r="I67">
        <v>3.83</v>
      </c>
      <c r="J67">
        <v>6.57</v>
      </c>
      <c r="K67">
        <v>3.96</v>
      </c>
      <c r="L67">
        <v>3.5</v>
      </c>
      <c r="M67">
        <v>3.7</v>
      </c>
      <c r="Q67">
        <v>11.3894</v>
      </c>
      <c r="R67">
        <v>188.9</v>
      </c>
      <c r="S67">
        <v>2.4326830982840351</v>
      </c>
      <c r="T67">
        <f t="shared" si="1"/>
        <v>-1.0741617049023766</v>
      </c>
      <c r="U67">
        <v>4.0312582305911979</v>
      </c>
      <c r="V67">
        <v>5.2412177745074642</v>
      </c>
      <c r="W67">
        <v>3.6426426422003009</v>
      </c>
      <c r="X67">
        <v>0</v>
      </c>
      <c r="Y67">
        <v>14</v>
      </c>
      <c r="Z67">
        <v>92.870999999999995</v>
      </c>
      <c r="AA67">
        <v>3.1676679410158446</v>
      </c>
      <c r="AB67">
        <v>1.03</v>
      </c>
      <c r="AC67">
        <v>1.324804052</v>
      </c>
      <c r="AE67">
        <v>0</v>
      </c>
    </row>
    <row r="68" spans="1:31" x14ac:dyDescent="0.25">
      <c r="A68" s="1">
        <v>38169</v>
      </c>
      <c r="B68">
        <v>76.045400000000001</v>
      </c>
      <c r="C68">
        <f t="shared" ref="C68:C131" si="2">B68-B67</f>
        <v>-0.46080000000000609</v>
      </c>
      <c r="E68">
        <v>-2.2077813836576302E-3</v>
      </c>
      <c r="F68">
        <v>56.479390000000002</v>
      </c>
      <c r="G68">
        <v>60.725136999999997</v>
      </c>
      <c r="H68">
        <v>4.49</v>
      </c>
      <c r="I68">
        <v>3.87</v>
      </c>
      <c r="J68">
        <v>6.81</v>
      </c>
      <c r="K68">
        <v>4.09</v>
      </c>
      <c r="L68">
        <v>3.63</v>
      </c>
      <c r="M68">
        <v>3.7</v>
      </c>
      <c r="Q68">
        <v>11.4636</v>
      </c>
      <c r="R68">
        <v>189.1</v>
      </c>
      <c r="S68">
        <v>2.4391767980818262</v>
      </c>
      <c r="T68">
        <f t="shared" ref="T68:T131" si="3">(S68-S67)*100</f>
        <v>0.64936997977911304</v>
      </c>
      <c r="U68">
        <v>4.0338757928433768</v>
      </c>
      <c r="V68">
        <v>5.2422759756644117</v>
      </c>
      <c r="W68">
        <v>3.6475769809028602</v>
      </c>
      <c r="X68">
        <v>0</v>
      </c>
      <c r="Y68">
        <v>11</v>
      </c>
      <c r="Z68">
        <v>93.564899999999994</v>
      </c>
      <c r="AA68">
        <v>2.9395753946652183</v>
      </c>
      <c r="AB68">
        <v>1.26</v>
      </c>
      <c r="AC68">
        <v>1.4383094219999999</v>
      </c>
      <c r="AE68">
        <v>0</v>
      </c>
    </row>
    <row r="69" spans="1:31" x14ac:dyDescent="0.25">
      <c r="A69" s="1">
        <v>38200</v>
      </c>
      <c r="B69">
        <v>76.235699999999994</v>
      </c>
      <c r="C69">
        <f t="shared" si="2"/>
        <v>0.19029999999999347</v>
      </c>
      <c r="E69">
        <v>-2.1386088848096602E-3</v>
      </c>
      <c r="F69">
        <v>56.828040999999999</v>
      </c>
      <c r="G69">
        <v>60.893895999999998</v>
      </c>
      <c r="H69">
        <v>4.82</v>
      </c>
      <c r="I69">
        <v>3.79</v>
      </c>
      <c r="J69">
        <v>7.21</v>
      </c>
      <c r="K69">
        <v>4</v>
      </c>
      <c r="L69">
        <v>3.6</v>
      </c>
      <c r="M69">
        <v>3.67</v>
      </c>
      <c r="Q69">
        <v>11.3942</v>
      </c>
      <c r="R69">
        <v>189.2</v>
      </c>
      <c r="S69">
        <v>2.4331044540022719</v>
      </c>
      <c r="T69">
        <f t="shared" si="3"/>
        <v>-0.60723440795542594</v>
      </c>
      <c r="U69">
        <v>4.0400298834848991</v>
      </c>
      <c r="V69">
        <v>5.2428046566177784</v>
      </c>
      <c r="W69">
        <v>3.6358792271351499</v>
      </c>
      <c r="X69">
        <v>0</v>
      </c>
      <c r="Y69">
        <v>-1</v>
      </c>
      <c r="Z69">
        <v>93.627700000000004</v>
      </c>
      <c r="AA69">
        <v>2.5474254742547364</v>
      </c>
      <c r="AB69">
        <v>1.43</v>
      </c>
      <c r="AC69">
        <v>1.6265954929999999</v>
      </c>
      <c r="AE69">
        <v>0</v>
      </c>
    </row>
    <row r="70" spans="1:31" x14ac:dyDescent="0.25">
      <c r="A70" s="1">
        <v>38231</v>
      </c>
      <c r="B70">
        <v>76.224800000000002</v>
      </c>
      <c r="C70">
        <f t="shared" si="2"/>
        <v>-1.089999999999236E-2</v>
      </c>
      <c r="E70">
        <v>-4.7608822580711401E-3</v>
      </c>
      <c r="F70">
        <v>57.297916999999998</v>
      </c>
      <c r="G70">
        <v>61.242452999999998</v>
      </c>
      <c r="H70">
        <v>5.0599999999999996</v>
      </c>
      <c r="I70">
        <v>3.89</v>
      </c>
      <c r="J70">
        <v>7.36</v>
      </c>
      <c r="K70">
        <v>3.98</v>
      </c>
      <c r="L70">
        <v>3.6</v>
      </c>
      <c r="M70">
        <v>3.8</v>
      </c>
      <c r="Q70">
        <v>11.4864</v>
      </c>
      <c r="R70">
        <v>189.8</v>
      </c>
      <c r="S70">
        <v>2.441163726840081</v>
      </c>
      <c r="T70">
        <f t="shared" si="3"/>
        <v>0.80592728378090506</v>
      </c>
      <c r="U70">
        <v>4.0482642705293834</v>
      </c>
      <c r="V70">
        <v>5.2459708861758276</v>
      </c>
      <c r="W70">
        <v>3.6388703424865252</v>
      </c>
      <c r="X70">
        <v>0</v>
      </c>
      <c r="Y70">
        <v>13</v>
      </c>
      <c r="Z70">
        <v>93.746700000000004</v>
      </c>
      <c r="AA70">
        <v>2.5391680172879618</v>
      </c>
      <c r="AB70">
        <v>1.61</v>
      </c>
      <c r="AC70">
        <v>1.926455934</v>
      </c>
      <c r="AE70">
        <v>0</v>
      </c>
    </row>
    <row r="71" spans="1:31" x14ac:dyDescent="0.25">
      <c r="A71" s="1">
        <v>38261</v>
      </c>
      <c r="B71">
        <v>76.453199999999995</v>
      </c>
      <c r="C71">
        <f t="shared" si="2"/>
        <v>0.2283999999999935</v>
      </c>
      <c r="E71">
        <v>-4.2943577240626097E-3</v>
      </c>
      <c r="F71">
        <v>57.694747</v>
      </c>
      <c r="G71">
        <v>61.418346999999997</v>
      </c>
      <c r="H71">
        <v>5.4</v>
      </c>
      <c r="I71">
        <v>3.96</v>
      </c>
      <c r="J71">
        <v>7.76</v>
      </c>
      <c r="K71">
        <v>4.07</v>
      </c>
      <c r="L71">
        <v>3.7</v>
      </c>
      <c r="M71">
        <v>3.91</v>
      </c>
      <c r="Q71">
        <v>11.398300000000001</v>
      </c>
      <c r="R71">
        <v>190.8</v>
      </c>
      <c r="S71">
        <v>2.4334642214735211</v>
      </c>
      <c r="T71">
        <f t="shared" si="3"/>
        <v>-0.76995053665598334</v>
      </c>
      <c r="U71">
        <v>4.0551661295083221</v>
      </c>
      <c r="V71">
        <v>5.2512257590141864</v>
      </c>
      <c r="W71">
        <v>3.629523850979385</v>
      </c>
      <c r="X71">
        <v>0</v>
      </c>
      <c r="Y71">
        <v>15</v>
      </c>
      <c r="Z71">
        <v>94.546499999999995</v>
      </c>
      <c r="AA71">
        <v>3.1909140075716631</v>
      </c>
      <c r="AB71">
        <v>1.76</v>
      </c>
      <c r="AC71">
        <v>2.0808222679999999</v>
      </c>
      <c r="AE71">
        <v>0</v>
      </c>
    </row>
    <row r="72" spans="1:31" x14ac:dyDescent="0.25">
      <c r="A72" s="1">
        <v>38292</v>
      </c>
      <c r="B72">
        <v>77.135900000000007</v>
      </c>
      <c r="C72">
        <f t="shared" si="2"/>
        <v>0.68270000000001119</v>
      </c>
      <c r="E72">
        <v>2.02750172439803E-3</v>
      </c>
      <c r="F72">
        <v>58.186898999999997</v>
      </c>
      <c r="G72">
        <v>61.564211999999998</v>
      </c>
      <c r="H72">
        <v>5.43</v>
      </c>
      <c r="I72">
        <v>3.94</v>
      </c>
      <c r="J72">
        <v>8.1999999999999993</v>
      </c>
      <c r="K72">
        <v>4.25</v>
      </c>
      <c r="L72">
        <v>3.78</v>
      </c>
      <c r="M72">
        <f>AVERAGE(M71,M74)</f>
        <v>3.855</v>
      </c>
      <c r="Q72">
        <v>11.3681</v>
      </c>
      <c r="R72">
        <v>191.7</v>
      </c>
      <c r="S72">
        <v>2.430811187378207</v>
      </c>
      <c r="T72">
        <f t="shared" si="3"/>
        <v>-0.2653034095314144</v>
      </c>
      <c r="U72">
        <v>4.0636602263051049</v>
      </c>
      <c r="V72">
        <v>5.2559316500515987</v>
      </c>
      <c r="W72">
        <v>3.6230826111246999</v>
      </c>
      <c r="X72">
        <v>0</v>
      </c>
      <c r="Y72">
        <v>-7</v>
      </c>
      <c r="Z72">
        <v>94.781300000000002</v>
      </c>
      <c r="AA72">
        <v>3.6216216216216153</v>
      </c>
      <c r="AB72">
        <v>1.93</v>
      </c>
      <c r="AC72">
        <v>2.3531338050000001</v>
      </c>
      <c r="AE72">
        <v>0</v>
      </c>
    </row>
    <row r="73" spans="1:31" x14ac:dyDescent="0.25">
      <c r="A73" s="1">
        <v>38322</v>
      </c>
      <c r="B73">
        <v>77.068100000000001</v>
      </c>
      <c r="C73">
        <f t="shared" si="2"/>
        <v>-6.7800000000005411E-2</v>
      </c>
      <c r="E73">
        <v>-1.4591129066010601E-3</v>
      </c>
      <c r="F73">
        <v>58.307088</v>
      </c>
      <c r="G73">
        <v>61.735928999999999</v>
      </c>
      <c r="H73">
        <v>5.19</v>
      </c>
      <c r="I73">
        <v>3.92</v>
      </c>
      <c r="J73">
        <v>8.5</v>
      </c>
      <c r="K73">
        <v>4.3</v>
      </c>
      <c r="L73">
        <v>3.75</v>
      </c>
      <c r="M73">
        <v>3.855</v>
      </c>
      <c r="Q73">
        <v>11.2041</v>
      </c>
      <c r="R73">
        <v>191.7</v>
      </c>
      <c r="S73">
        <v>2.4162797827418232</v>
      </c>
      <c r="T73">
        <f t="shared" si="3"/>
        <v>-1.4531404636383805</v>
      </c>
      <c r="U73">
        <v>4.0657236640110321</v>
      </c>
      <c r="V73">
        <v>5.2559316500515987</v>
      </c>
      <c r="W73">
        <v>3.6064877687823889</v>
      </c>
      <c r="X73">
        <v>0</v>
      </c>
      <c r="Y73">
        <v>11</v>
      </c>
      <c r="Z73">
        <v>95.536500000000004</v>
      </c>
      <c r="AA73">
        <v>3.3423180592991852</v>
      </c>
      <c r="AB73">
        <v>2.16</v>
      </c>
      <c r="AC73">
        <v>2.534879938</v>
      </c>
      <c r="AE73">
        <v>0</v>
      </c>
    </row>
    <row r="74" spans="1:31" x14ac:dyDescent="0.25">
      <c r="A74" s="1">
        <v>38353</v>
      </c>
      <c r="B74">
        <v>77.134399999999999</v>
      </c>
      <c r="C74">
        <f t="shared" si="2"/>
        <v>6.6299999999998249E-2</v>
      </c>
      <c r="E74">
        <v>-3.2420619621920102E-3</v>
      </c>
      <c r="F74">
        <v>58.309159999999999</v>
      </c>
      <c r="G74">
        <v>61.967210000000001</v>
      </c>
      <c r="H74">
        <v>4.54</v>
      </c>
      <c r="I74">
        <v>3.91</v>
      </c>
      <c r="J74">
        <v>8.6</v>
      </c>
      <c r="K74">
        <v>4.22</v>
      </c>
      <c r="L74">
        <f>AVERAGE(L73,L75)</f>
        <v>3.7250000000000001</v>
      </c>
      <c r="M74">
        <v>3.8</v>
      </c>
      <c r="Q74">
        <v>11.2607</v>
      </c>
      <c r="R74">
        <v>191.6</v>
      </c>
      <c r="S74">
        <v>2.4213187877419591</v>
      </c>
      <c r="T74">
        <f t="shared" si="3"/>
        <v>0.50390050001358766</v>
      </c>
      <c r="U74">
        <v>4.0657591993679958</v>
      </c>
      <c r="V74">
        <v>5.2554098655367598</v>
      </c>
      <c r="W74">
        <v>3.6109694539107231</v>
      </c>
      <c r="X74">
        <v>0</v>
      </c>
      <c r="Y74">
        <v>16</v>
      </c>
      <c r="Z74">
        <v>95.880099999999999</v>
      </c>
      <c r="AA74">
        <v>2.8448738593666039</v>
      </c>
      <c r="AB74">
        <v>2.2799999999999998</v>
      </c>
      <c r="AC74">
        <v>2.6782117059999999</v>
      </c>
      <c r="AE74">
        <v>0</v>
      </c>
    </row>
    <row r="75" spans="1:31" x14ac:dyDescent="0.25">
      <c r="A75" s="1">
        <v>38384</v>
      </c>
      <c r="B75">
        <v>77.272000000000006</v>
      </c>
      <c r="C75">
        <f t="shared" si="2"/>
        <v>0.13760000000000616</v>
      </c>
      <c r="E75">
        <v>-4.1345956805036704E-3</v>
      </c>
      <c r="F75">
        <v>58.503430999999999</v>
      </c>
      <c r="G75">
        <v>62.207804000000003</v>
      </c>
      <c r="H75">
        <v>4.2699999999999996</v>
      </c>
      <c r="I75">
        <v>3.85</v>
      </c>
      <c r="J75">
        <v>9.15</v>
      </c>
      <c r="K75">
        <v>4.2300000000000004</v>
      </c>
      <c r="L75">
        <v>3.7</v>
      </c>
      <c r="M75">
        <v>3.9</v>
      </c>
      <c r="Q75">
        <v>11.136699999999999</v>
      </c>
      <c r="R75">
        <v>192.4</v>
      </c>
      <c r="S75">
        <v>2.4102459608119098</v>
      </c>
      <c r="T75">
        <f t="shared" si="3"/>
        <v>-1.1072826930049295</v>
      </c>
      <c r="U75">
        <v>4.0690854020906411</v>
      </c>
      <c r="V75">
        <v>5.259576538231606</v>
      </c>
      <c r="W75">
        <v>3.6007370969528751</v>
      </c>
      <c r="X75">
        <v>0</v>
      </c>
      <c r="Y75">
        <v>0</v>
      </c>
      <c r="Z75">
        <v>96.576099999999997</v>
      </c>
      <c r="AA75">
        <v>3.0530262453133465</v>
      </c>
      <c r="AB75">
        <v>2.5</v>
      </c>
      <c r="AC75">
        <v>2.8393581609999998</v>
      </c>
      <c r="AE75">
        <v>0</v>
      </c>
    </row>
    <row r="76" spans="1:31" x14ac:dyDescent="0.25">
      <c r="A76" s="1">
        <v>38412</v>
      </c>
      <c r="B76">
        <v>76.935400000000001</v>
      </c>
      <c r="C76">
        <f t="shared" si="2"/>
        <v>-0.33660000000000423</v>
      </c>
      <c r="E76">
        <v>-1.1203145834271001E-2</v>
      </c>
      <c r="F76">
        <v>58.767121000000003</v>
      </c>
      <c r="G76">
        <v>62.385185999999997</v>
      </c>
      <c r="H76">
        <v>4.3899999999999997</v>
      </c>
      <c r="I76">
        <v>3.77</v>
      </c>
      <c r="J76">
        <v>9.41</v>
      </c>
      <c r="K76">
        <v>4.24</v>
      </c>
      <c r="L76">
        <v>3.64</v>
      </c>
      <c r="M76">
        <v>3.81</v>
      </c>
      <c r="Q76">
        <v>11.1427</v>
      </c>
      <c r="R76">
        <v>193.1</v>
      </c>
      <c r="S76">
        <v>2.4107845749707342</v>
      </c>
      <c r="T76">
        <f t="shared" si="3"/>
        <v>5.386141588243909E-2</v>
      </c>
      <c r="U76">
        <v>4.0735825318459318</v>
      </c>
      <c r="V76">
        <v>5.2632081894344687</v>
      </c>
      <c r="W76">
        <v>3.6004102325592711</v>
      </c>
      <c r="X76">
        <v>0</v>
      </c>
      <c r="Y76">
        <v>9</v>
      </c>
      <c r="Z76">
        <v>96.445599999999999</v>
      </c>
      <c r="AA76">
        <v>3.2068412613575634</v>
      </c>
      <c r="AB76">
        <v>2.63</v>
      </c>
      <c r="AC76">
        <v>2.963444076</v>
      </c>
      <c r="AE76">
        <v>0</v>
      </c>
    </row>
    <row r="77" spans="1:31" x14ac:dyDescent="0.25">
      <c r="A77" s="1">
        <v>38443</v>
      </c>
      <c r="B77">
        <v>77.331999999999994</v>
      </c>
      <c r="C77">
        <f t="shared" si="2"/>
        <v>0.39659999999999229</v>
      </c>
      <c r="E77">
        <v>-8.7884339805084401E-3</v>
      </c>
      <c r="F77">
        <v>58.976415000000003</v>
      </c>
      <c r="G77">
        <v>62.503785999999998</v>
      </c>
      <c r="H77">
        <v>4.5999999999999996</v>
      </c>
      <c r="I77">
        <v>3.62</v>
      </c>
      <c r="J77">
        <v>9.6300000000000008</v>
      </c>
      <c r="K77">
        <v>4.1900000000000004</v>
      </c>
      <c r="L77">
        <v>3.56</v>
      </c>
      <c r="M77">
        <v>3.76</v>
      </c>
      <c r="Q77">
        <v>11.116300000000001</v>
      </c>
      <c r="R77">
        <v>193.7</v>
      </c>
      <c r="S77">
        <v>2.408412499641309</v>
      </c>
      <c r="T77">
        <f t="shared" si="3"/>
        <v>-0.23720753294251828</v>
      </c>
      <c r="U77">
        <v>4.0771376182233707</v>
      </c>
      <c r="V77">
        <v>5.2663105704129496</v>
      </c>
      <c r="W77">
        <v>3.5975854518308892</v>
      </c>
      <c r="X77">
        <v>0</v>
      </c>
      <c r="Y77">
        <v>-10</v>
      </c>
      <c r="Z77">
        <v>96.653199999999998</v>
      </c>
      <c r="AA77">
        <v>3.3617929562433209</v>
      </c>
      <c r="AB77">
        <v>2.79</v>
      </c>
      <c r="AC77">
        <v>3.0767634149999998</v>
      </c>
      <c r="AE77">
        <v>0</v>
      </c>
    </row>
    <row r="78" spans="1:31" x14ac:dyDescent="0.25">
      <c r="A78" s="1">
        <v>38473</v>
      </c>
      <c r="B78">
        <v>77.513000000000005</v>
      </c>
      <c r="C78">
        <f t="shared" si="2"/>
        <v>0.1810000000000116</v>
      </c>
      <c r="E78">
        <v>-9.1967578379437108E-3</v>
      </c>
      <c r="F78">
        <v>58.828251000000002</v>
      </c>
      <c r="G78">
        <v>62.624791999999999</v>
      </c>
      <c r="H78">
        <v>4.5999999999999996</v>
      </c>
      <c r="I78">
        <v>3.58</v>
      </c>
      <c r="J78">
        <v>9.75</v>
      </c>
      <c r="K78">
        <v>4.1100000000000003</v>
      </c>
      <c r="L78">
        <v>3.47</v>
      </c>
      <c r="M78">
        <v>3.74</v>
      </c>
      <c r="Q78">
        <v>10.9733</v>
      </c>
      <c r="R78">
        <v>193.6</v>
      </c>
      <c r="S78">
        <v>2.3954650494690739</v>
      </c>
      <c r="T78">
        <f t="shared" si="3"/>
        <v>-1.2947450172235087</v>
      </c>
      <c r="U78">
        <v>4.0746221987046978</v>
      </c>
      <c r="V78">
        <v>5.265794174842477</v>
      </c>
      <c r="W78">
        <v>3.5866370256068532</v>
      </c>
      <c r="X78">
        <v>0</v>
      </c>
      <c r="Y78">
        <v>-5.5500001907348633</v>
      </c>
      <c r="Z78">
        <v>96.740200000000002</v>
      </c>
      <c r="AA78">
        <v>2.8692879914984095</v>
      </c>
      <c r="AB78">
        <v>3</v>
      </c>
      <c r="AC78">
        <v>3.1453718730000002</v>
      </c>
      <c r="AE78">
        <v>0</v>
      </c>
    </row>
    <row r="79" spans="1:31" x14ac:dyDescent="0.25">
      <c r="A79" s="1">
        <v>38504</v>
      </c>
      <c r="B79">
        <v>76.861199999999997</v>
      </c>
      <c r="C79">
        <f t="shared" si="2"/>
        <v>-0.65180000000000859</v>
      </c>
      <c r="E79">
        <v>-2.0400984972105199E-2</v>
      </c>
      <c r="F79">
        <v>58.771782999999999</v>
      </c>
      <c r="G79">
        <v>62.776811000000002</v>
      </c>
      <c r="H79">
        <v>4.33</v>
      </c>
      <c r="I79">
        <v>3.56</v>
      </c>
      <c r="J79">
        <v>9.6300000000000008</v>
      </c>
      <c r="K79">
        <v>4.22</v>
      </c>
      <c r="L79">
        <v>3.4</v>
      </c>
      <c r="M79">
        <v>3.77</v>
      </c>
      <c r="Q79">
        <v>10.822800000000001</v>
      </c>
      <c r="R79">
        <v>193.7</v>
      </c>
      <c r="S79">
        <v>2.3816550199775262</v>
      </c>
      <c r="T79">
        <f t="shared" si="3"/>
        <v>-1.3810029491547748</v>
      </c>
      <c r="U79">
        <v>4.0736618587724864</v>
      </c>
      <c r="V79">
        <v>5.2663105704129496</v>
      </c>
      <c r="W79">
        <v>3.5743037316179902</v>
      </c>
      <c r="X79">
        <v>0</v>
      </c>
      <c r="Y79">
        <v>-11.100000381469727</v>
      </c>
      <c r="Z79">
        <v>97.175299999999993</v>
      </c>
      <c r="AA79">
        <v>2.5410269984118492</v>
      </c>
      <c r="AB79">
        <v>3.04</v>
      </c>
      <c r="AC79">
        <v>3.3173946120000002</v>
      </c>
      <c r="AE79">
        <v>0</v>
      </c>
    </row>
    <row r="80" spans="1:31" x14ac:dyDescent="0.25">
      <c r="A80" s="1">
        <v>38534</v>
      </c>
      <c r="B80">
        <v>77.113399999999999</v>
      </c>
      <c r="C80">
        <f t="shared" si="2"/>
        <v>0.25220000000000198</v>
      </c>
      <c r="E80">
        <v>-1.9892341651860199E-2</v>
      </c>
      <c r="F80">
        <v>59.001800000000003</v>
      </c>
      <c r="G80">
        <v>62.905948000000002</v>
      </c>
      <c r="H80">
        <v>4.47</v>
      </c>
      <c r="I80">
        <v>3.59</v>
      </c>
      <c r="J80">
        <v>9.61</v>
      </c>
      <c r="K80">
        <v>4.0999999999999996</v>
      </c>
      <c r="L80">
        <v>3.41</v>
      </c>
      <c r="M80">
        <v>3.72</v>
      </c>
      <c r="Q80">
        <v>10.678100000000001</v>
      </c>
      <c r="R80">
        <v>194.9</v>
      </c>
      <c r="S80">
        <v>2.368194915083778</v>
      </c>
      <c r="T80">
        <f t="shared" si="3"/>
        <v>-1.3460104893748159</v>
      </c>
      <c r="U80">
        <v>4.0775679519149222</v>
      </c>
      <c r="V80">
        <v>5.2724866065135148</v>
      </c>
      <c r="W80">
        <v>3.5631135696823701</v>
      </c>
      <c r="X80">
        <v>0</v>
      </c>
      <c r="Y80">
        <v>-5</v>
      </c>
      <c r="Z80">
        <v>96.867599999999996</v>
      </c>
      <c r="AA80">
        <v>3.0671602326811271</v>
      </c>
      <c r="AB80">
        <v>3.26</v>
      </c>
      <c r="AC80">
        <v>3.5764782180000001</v>
      </c>
      <c r="AE80">
        <v>0</v>
      </c>
    </row>
    <row r="81" spans="1:33" x14ac:dyDescent="0.25">
      <c r="A81" s="1">
        <v>38565</v>
      </c>
      <c r="B81">
        <v>78.122299999999996</v>
      </c>
      <c r="C81">
        <f t="shared" si="2"/>
        <v>1.008899999999997</v>
      </c>
      <c r="E81">
        <v>-9.6609813968910902E-3</v>
      </c>
      <c r="F81">
        <v>59.072254999999998</v>
      </c>
      <c r="G81">
        <v>62.992780000000003</v>
      </c>
      <c r="H81">
        <v>3.95</v>
      </c>
      <c r="I81">
        <v>3.45</v>
      </c>
      <c r="J81">
        <v>9.6</v>
      </c>
      <c r="K81">
        <v>3.97</v>
      </c>
      <c r="L81">
        <v>3.36</v>
      </c>
      <c r="M81">
        <v>3.69</v>
      </c>
      <c r="Q81">
        <v>10.6882</v>
      </c>
      <c r="R81">
        <v>196.1</v>
      </c>
      <c r="S81">
        <v>2.369140329194062</v>
      </c>
      <c r="T81">
        <f t="shared" si="3"/>
        <v>9.4541411028403743E-2</v>
      </c>
      <c r="U81">
        <v>4.0787613556370506</v>
      </c>
      <c r="V81">
        <v>5.2786247332023004</v>
      </c>
      <c r="W81">
        <v>3.5690037067593119</v>
      </c>
      <c r="X81">
        <v>0</v>
      </c>
      <c r="Y81">
        <v>-19</v>
      </c>
      <c r="Z81">
        <v>97.183300000000003</v>
      </c>
      <c r="AA81">
        <v>3.6469344608879526</v>
      </c>
      <c r="AB81">
        <v>3.5</v>
      </c>
      <c r="AC81">
        <v>3.6316249809999999</v>
      </c>
      <c r="AE81">
        <v>0</v>
      </c>
    </row>
    <row r="82" spans="1:33" x14ac:dyDescent="0.25">
      <c r="A82" s="1">
        <v>38596</v>
      </c>
      <c r="B82">
        <v>78.535799999999995</v>
      </c>
      <c r="C82">
        <f t="shared" si="2"/>
        <v>0.41349999999999909</v>
      </c>
      <c r="E82">
        <v>-7.1400270461072796E-3</v>
      </c>
      <c r="F82">
        <v>59.309005999999997</v>
      </c>
      <c r="G82">
        <v>63.295588000000002</v>
      </c>
      <c r="H82">
        <v>3.51</v>
      </c>
      <c r="I82">
        <v>3.35</v>
      </c>
      <c r="J82">
        <v>9.2100000000000009</v>
      </c>
      <c r="K82">
        <v>3.91</v>
      </c>
      <c r="L82">
        <v>3.25</v>
      </c>
      <c r="M82">
        <v>3.63</v>
      </c>
      <c r="Q82">
        <v>10.7775</v>
      </c>
      <c r="R82">
        <v>198.8</v>
      </c>
      <c r="S82">
        <v>2.3774606276391528</v>
      </c>
      <c r="T82">
        <f t="shared" si="3"/>
        <v>0.83202984450907458</v>
      </c>
      <c r="U82">
        <v>4.0827611663104308</v>
      </c>
      <c r="V82">
        <v>5.2922992942224738</v>
      </c>
      <c r="W82">
        <v>3.5869987555511949</v>
      </c>
      <c r="X82">
        <v>0</v>
      </c>
      <c r="Y82">
        <v>5</v>
      </c>
      <c r="Z82">
        <v>95.3005</v>
      </c>
      <c r="AA82">
        <v>4.7418335089567965</v>
      </c>
      <c r="AB82">
        <v>3.62</v>
      </c>
      <c r="AC82">
        <v>4.1378669439999998</v>
      </c>
      <c r="AE82">
        <v>0</v>
      </c>
    </row>
    <row r="83" spans="1:33" x14ac:dyDescent="0.25">
      <c r="A83" s="1">
        <v>38626</v>
      </c>
      <c r="B83">
        <v>78.759500000000003</v>
      </c>
      <c r="C83">
        <f t="shared" si="2"/>
        <v>0.223700000000008</v>
      </c>
      <c r="D83">
        <v>0</v>
      </c>
      <c r="E83">
        <v>-7.03509265819413E-3</v>
      </c>
      <c r="F83">
        <v>59.45458</v>
      </c>
      <c r="G83">
        <v>63.446666999999998</v>
      </c>
      <c r="H83">
        <v>3.05</v>
      </c>
      <c r="I83">
        <v>3.3</v>
      </c>
      <c r="J83">
        <v>8.91</v>
      </c>
      <c r="K83">
        <v>3.83</v>
      </c>
      <c r="L83">
        <v>3.22</v>
      </c>
      <c r="M83">
        <v>3.6</v>
      </c>
      <c r="Q83">
        <v>10.8324</v>
      </c>
      <c r="R83">
        <v>199.1</v>
      </c>
      <c r="S83">
        <v>2.3825416431099731</v>
      </c>
      <c r="T83">
        <f t="shared" si="3"/>
        <v>0.50810154708202937</v>
      </c>
      <c r="U83">
        <v>4.0852126596984144</v>
      </c>
      <c r="V83">
        <v>5.2938072110701508</v>
      </c>
      <c r="W83">
        <v>3.5911361944817091</v>
      </c>
      <c r="X83">
        <v>0</v>
      </c>
      <c r="Y83">
        <v>-7</v>
      </c>
      <c r="Z83">
        <v>96.4572</v>
      </c>
      <c r="AA83">
        <v>4.3501048218029252</v>
      </c>
      <c r="AB83">
        <v>3.78</v>
      </c>
      <c r="AC83">
        <v>4.2000790060000002</v>
      </c>
      <c r="AE83">
        <v>0</v>
      </c>
      <c r="AG83">
        <v>-6.0604550832258353E-3</v>
      </c>
    </row>
    <row r="84" spans="1:33" x14ac:dyDescent="0.25">
      <c r="A84" s="1">
        <v>38657</v>
      </c>
      <c r="B84">
        <v>79.477500000000006</v>
      </c>
      <c r="C84">
        <f t="shared" si="2"/>
        <v>0.71800000000000352</v>
      </c>
      <c r="D84">
        <v>0</v>
      </c>
      <c r="E84">
        <v>-6.7064852931686403E-4</v>
      </c>
      <c r="F84">
        <v>59.882492999999997</v>
      </c>
      <c r="G84">
        <v>63.577255999999998</v>
      </c>
      <c r="H84">
        <v>2.91</v>
      </c>
      <c r="I84">
        <v>3.27</v>
      </c>
      <c r="J84">
        <v>8.7100000000000009</v>
      </c>
      <c r="K84">
        <v>3.65</v>
      </c>
      <c r="L84">
        <v>3.28</v>
      </c>
      <c r="M84">
        <v>3.6</v>
      </c>
      <c r="Q84">
        <v>10.6685</v>
      </c>
      <c r="R84">
        <v>198.1</v>
      </c>
      <c r="S84">
        <v>2.367295474362801</v>
      </c>
      <c r="T84">
        <f t="shared" si="3"/>
        <v>-1.5246168747172106</v>
      </c>
      <c r="U84">
        <v>4.0923841919513206</v>
      </c>
      <c r="V84">
        <v>5.2887719537045053</v>
      </c>
      <c r="W84">
        <v>3.563683236115986</v>
      </c>
      <c r="X84">
        <v>0</v>
      </c>
      <c r="Y84">
        <v>-1.5</v>
      </c>
      <c r="Z84">
        <v>97.541399999999996</v>
      </c>
      <c r="AA84">
        <v>3.3385498174230603</v>
      </c>
      <c r="AB84">
        <v>4</v>
      </c>
      <c r="AC84">
        <v>4.3257905360000004</v>
      </c>
      <c r="AE84">
        <v>0</v>
      </c>
      <c r="AG84">
        <v>-6.0604550832258353E-3</v>
      </c>
    </row>
    <row r="85" spans="1:33" x14ac:dyDescent="0.25">
      <c r="A85" s="1">
        <v>38687</v>
      </c>
      <c r="B85">
        <v>79.967200000000005</v>
      </c>
      <c r="C85">
        <f t="shared" si="2"/>
        <v>0.48969999999999914</v>
      </c>
      <c r="D85">
        <v>-5.5</v>
      </c>
      <c r="E85">
        <v>2.8007156797231801E-3</v>
      </c>
      <c r="F85">
        <v>60.250312000000001</v>
      </c>
      <c r="G85">
        <v>63.756892000000001</v>
      </c>
      <c r="H85">
        <v>3.33</v>
      </c>
      <c r="I85">
        <v>3.27</v>
      </c>
      <c r="J85">
        <v>8.2200000000000006</v>
      </c>
      <c r="K85">
        <v>3.59</v>
      </c>
      <c r="L85">
        <v>3.3</v>
      </c>
      <c r="M85">
        <v>3.54</v>
      </c>
      <c r="Q85">
        <v>10.6295</v>
      </c>
      <c r="R85">
        <v>198.1</v>
      </c>
      <c r="S85">
        <v>2.3636331545589799</v>
      </c>
      <c r="T85">
        <f t="shared" si="3"/>
        <v>-0.36623198038210347</v>
      </c>
      <c r="U85">
        <v>4.0985077507805929</v>
      </c>
      <c r="V85">
        <v>5.2887719537045053</v>
      </c>
      <c r="W85">
        <v>3.5538973574828918</v>
      </c>
      <c r="X85">
        <v>0</v>
      </c>
      <c r="Y85">
        <v>-16</v>
      </c>
      <c r="Z85">
        <v>98.045199999999994</v>
      </c>
      <c r="AA85">
        <v>3.3385498174230603</v>
      </c>
      <c r="AB85">
        <v>4.16</v>
      </c>
      <c r="AC85">
        <v>4.3629887480000002</v>
      </c>
      <c r="AE85">
        <v>0</v>
      </c>
      <c r="AG85">
        <v>-3.5267173089671151</v>
      </c>
    </row>
    <row r="86" spans="1:33" x14ac:dyDescent="0.25">
      <c r="A86" s="1">
        <v>38718</v>
      </c>
      <c r="B86">
        <v>81.454700000000003</v>
      </c>
      <c r="C86">
        <f t="shared" si="2"/>
        <v>1.4874999999999972</v>
      </c>
      <c r="D86">
        <v>-1</v>
      </c>
      <c r="E86">
        <v>1.8610018765165201E-2</v>
      </c>
      <c r="F86">
        <v>60.603625999999998</v>
      </c>
      <c r="G86">
        <v>63.895721000000002</v>
      </c>
      <c r="H86">
        <v>3.94</v>
      </c>
      <c r="I86">
        <v>3.11</v>
      </c>
      <c r="J86">
        <v>7.88</v>
      </c>
      <c r="K86">
        <v>3.54</v>
      </c>
      <c r="L86">
        <v>3.26</v>
      </c>
      <c r="M86">
        <v>3.52</v>
      </c>
      <c r="Q86">
        <v>10.547000000000001</v>
      </c>
      <c r="R86">
        <v>199.3</v>
      </c>
      <c r="S86">
        <v>2.355841459294477</v>
      </c>
      <c r="T86">
        <f t="shared" si="3"/>
        <v>-0.77916952645029625</v>
      </c>
      <c r="U86">
        <v>4.1043547262687259</v>
      </c>
      <c r="V86">
        <v>5.2948112272187489</v>
      </c>
      <c r="W86">
        <v>3.5462979602444999</v>
      </c>
      <c r="X86">
        <v>0</v>
      </c>
      <c r="Y86">
        <v>9.5</v>
      </c>
      <c r="Z86">
        <v>98.1999</v>
      </c>
      <c r="AA86">
        <v>4.0187891440501131</v>
      </c>
      <c r="AB86">
        <v>4.29</v>
      </c>
      <c r="AC86">
        <v>4.5346237990000002</v>
      </c>
      <c r="AE86">
        <v>0</v>
      </c>
      <c r="AG86">
        <v>-0.58216710229092095</v>
      </c>
    </row>
    <row r="87" spans="1:33" x14ac:dyDescent="0.25">
      <c r="A87" s="1">
        <v>38749</v>
      </c>
      <c r="B87">
        <v>80.600999999999999</v>
      </c>
      <c r="C87">
        <f t="shared" si="2"/>
        <v>-0.85370000000000346</v>
      </c>
      <c r="D87">
        <v>0.5</v>
      </c>
      <c r="E87">
        <v>5.5133494439481004E-3</v>
      </c>
      <c r="F87">
        <v>60.696357999999996</v>
      </c>
      <c r="G87">
        <v>64.104561000000004</v>
      </c>
      <c r="H87">
        <v>3.75</v>
      </c>
      <c r="I87">
        <v>3.05</v>
      </c>
      <c r="J87">
        <v>7.61</v>
      </c>
      <c r="K87">
        <v>3.47</v>
      </c>
      <c r="L87">
        <v>3.14</v>
      </c>
      <c r="M87">
        <v>3.56</v>
      </c>
      <c r="Q87">
        <v>10.4833</v>
      </c>
      <c r="R87">
        <v>199.4</v>
      </c>
      <c r="S87">
        <v>2.3497835148230459</v>
      </c>
      <c r="T87">
        <f t="shared" si="3"/>
        <v>-0.60579444714310426</v>
      </c>
      <c r="U87">
        <v>4.1058836962653809</v>
      </c>
      <c r="V87">
        <v>5.2953128575277377</v>
      </c>
      <c r="W87">
        <v>3.5392126760854028</v>
      </c>
      <c r="X87">
        <v>0</v>
      </c>
      <c r="Y87">
        <v>-2</v>
      </c>
      <c r="Z87">
        <v>98.241299999999995</v>
      </c>
      <c r="AA87">
        <v>3.6382536382536386</v>
      </c>
      <c r="AB87">
        <v>4.49</v>
      </c>
      <c r="AC87">
        <v>4.6042328589999997</v>
      </c>
      <c r="AE87">
        <v>0</v>
      </c>
      <c r="AG87">
        <v>0.37800680234425621</v>
      </c>
    </row>
    <row r="88" spans="1:33" x14ac:dyDescent="0.25">
      <c r="A88" s="1">
        <v>38777</v>
      </c>
      <c r="B88">
        <v>80.683099999999996</v>
      </c>
      <c r="C88">
        <f t="shared" si="2"/>
        <v>8.2099999999996953E-2</v>
      </c>
      <c r="D88">
        <v>0</v>
      </c>
      <c r="E88">
        <v>4.04039959403502E-3</v>
      </c>
      <c r="F88">
        <v>60.772511999999999</v>
      </c>
      <c r="G88">
        <v>64.358728999999997</v>
      </c>
      <c r="H88">
        <v>3.41</v>
      </c>
      <c r="I88">
        <v>3.16</v>
      </c>
      <c r="J88">
        <v>7.37</v>
      </c>
      <c r="K88">
        <v>3.5</v>
      </c>
      <c r="L88">
        <v>3.14</v>
      </c>
      <c r="M88">
        <v>3.51</v>
      </c>
      <c r="Q88">
        <v>10.7468</v>
      </c>
      <c r="R88">
        <v>199.7</v>
      </c>
      <c r="S88">
        <v>2.3746080358412431</v>
      </c>
      <c r="T88">
        <f t="shared" si="3"/>
        <v>2.482452101819721</v>
      </c>
      <c r="U88">
        <v>4.1071375814785656</v>
      </c>
      <c r="V88">
        <v>5.2968162404217694</v>
      </c>
      <c r="W88">
        <v>3.5642866947844469</v>
      </c>
      <c r="X88">
        <v>0</v>
      </c>
      <c r="Y88">
        <v>-11</v>
      </c>
      <c r="Z88">
        <v>98.462800000000001</v>
      </c>
      <c r="AA88">
        <v>3.4179181771103027</v>
      </c>
      <c r="AB88">
        <v>4.59</v>
      </c>
      <c r="AC88">
        <v>4.7659006140000004</v>
      </c>
      <c r="AE88">
        <v>0</v>
      </c>
      <c r="AG88">
        <v>-6.0604550832258353E-3</v>
      </c>
    </row>
    <row r="89" spans="1:33" x14ac:dyDescent="0.25">
      <c r="A89" s="1">
        <v>38808</v>
      </c>
      <c r="B89">
        <v>81.122399999999999</v>
      </c>
      <c r="C89">
        <f t="shared" si="2"/>
        <v>0.43930000000000291</v>
      </c>
      <c r="D89">
        <v>-2.25</v>
      </c>
      <c r="E89">
        <v>7.0577993473310797E-3</v>
      </c>
      <c r="F89">
        <v>60.861617000000003</v>
      </c>
      <c r="G89">
        <v>64.577157999999997</v>
      </c>
      <c r="H89">
        <v>3.2</v>
      </c>
      <c r="I89">
        <v>3.32</v>
      </c>
      <c r="J89">
        <v>7.17</v>
      </c>
      <c r="K89">
        <v>3.53</v>
      </c>
      <c r="L89">
        <v>3.28</v>
      </c>
      <c r="M89">
        <v>3.52</v>
      </c>
      <c r="Q89">
        <v>11.0421</v>
      </c>
      <c r="R89">
        <v>200.7</v>
      </c>
      <c r="S89">
        <v>2.4017152401512201</v>
      </c>
      <c r="T89">
        <f t="shared" si="3"/>
        <v>2.7107204309976929</v>
      </c>
      <c r="U89">
        <v>4.1086027132910274</v>
      </c>
      <c r="V89">
        <v>5.3018112558022921</v>
      </c>
      <c r="W89">
        <v>3.5949237826624851</v>
      </c>
      <c r="X89">
        <v>0</v>
      </c>
      <c r="Y89">
        <v>-7</v>
      </c>
      <c r="Z89">
        <v>98.761799999999994</v>
      </c>
      <c r="AA89">
        <v>3.6138358286009296</v>
      </c>
      <c r="AB89">
        <v>4.79</v>
      </c>
      <c r="AC89">
        <v>4.9122217790000002</v>
      </c>
      <c r="AE89">
        <v>0</v>
      </c>
      <c r="AG89">
        <v>-1.4463270731024638</v>
      </c>
    </row>
    <row r="90" spans="1:33" x14ac:dyDescent="0.25">
      <c r="A90" s="1">
        <v>38838</v>
      </c>
      <c r="B90">
        <v>81.955299999999994</v>
      </c>
      <c r="C90">
        <f t="shared" si="2"/>
        <v>0.83289999999999509</v>
      </c>
      <c r="D90">
        <v>0</v>
      </c>
      <c r="E90">
        <v>1.49470005721639E-2</v>
      </c>
      <c r="F90">
        <v>60.590674999999997</v>
      </c>
      <c r="G90">
        <v>64.664462999999998</v>
      </c>
      <c r="H90">
        <v>3</v>
      </c>
      <c r="I90">
        <v>3.26</v>
      </c>
      <c r="J90">
        <v>7.02</v>
      </c>
      <c r="K90">
        <v>3.68</v>
      </c>
      <c r="L90">
        <v>3.19</v>
      </c>
      <c r="M90">
        <v>3.49</v>
      </c>
      <c r="Q90">
        <v>11.0923</v>
      </c>
      <c r="R90">
        <v>201.3</v>
      </c>
      <c r="S90">
        <v>2.406251173907795</v>
      </c>
      <c r="T90">
        <f t="shared" si="3"/>
        <v>0.45359337565749058</v>
      </c>
      <c r="U90">
        <v>4.1041410033470633</v>
      </c>
      <c r="V90">
        <v>5.3047963326457461</v>
      </c>
      <c r="W90">
        <v>3.6069065032064782</v>
      </c>
      <c r="X90">
        <v>0</v>
      </c>
      <c r="Y90">
        <v>-3.5</v>
      </c>
      <c r="Z90">
        <v>98.786900000000003</v>
      </c>
      <c r="AA90">
        <v>3.9772727272727364</v>
      </c>
      <c r="AB90">
        <v>4.9400000000000004</v>
      </c>
      <c r="AC90">
        <v>5.065070746</v>
      </c>
      <c r="AE90">
        <v>0</v>
      </c>
      <c r="AG90">
        <v>-6.0604550832258353E-3</v>
      </c>
    </row>
    <row r="91" spans="1:33" x14ac:dyDescent="0.25">
      <c r="A91" s="1">
        <v>38869</v>
      </c>
      <c r="B91">
        <v>81.835499999999996</v>
      </c>
      <c r="C91">
        <f t="shared" si="2"/>
        <v>-0.11979999999999791</v>
      </c>
      <c r="D91">
        <v>0</v>
      </c>
      <c r="E91">
        <v>1.12534576980874E-2</v>
      </c>
      <c r="F91">
        <v>60.642997999999999</v>
      </c>
      <c r="G91">
        <v>64.859809999999996</v>
      </c>
      <c r="H91">
        <v>3.18</v>
      </c>
      <c r="I91">
        <v>3.32</v>
      </c>
      <c r="J91">
        <v>7.02</v>
      </c>
      <c r="K91">
        <v>3.71</v>
      </c>
      <c r="L91">
        <v>3.19</v>
      </c>
      <c r="M91">
        <v>3.5</v>
      </c>
      <c r="Q91">
        <v>11.391299999999999</v>
      </c>
      <c r="R91">
        <v>201.8</v>
      </c>
      <c r="S91">
        <v>2.4328499061524851</v>
      </c>
      <c r="T91">
        <f t="shared" si="3"/>
        <v>2.6598732244690115</v>
      </c>
      <c r="U91">
        <v>4.1050041794260181</v>
      </c>
      <c r="V91">
        <v>5.3072771079195089</v>
      </c>
      <c r="W91">
        <v>3.6351228346459759</v>
      </c>
      <c r="X91">
        <v>0</v>
      </c>
      <c r="Y91">
        <v>-10.5</v>
      </c>
      <c r="Z91">
        <v>99.099699999999999</v>
      </c>
      <c r="AA91">
        <v>4.1817243159525157</v>
      </c>
      <c r="AB91">
        <v>4.99</v>
      </c>
      <c r="AC91">
        <v>5.262575236</v>
      </c>
      <c r="AE91">
        <v>0</v>
      </c>
      <c r="AG91">
        <v>-6.0604550832258353E-3</v>
      </c>
    </row>
    <row r="92" spans="1:33" x14ac:dyDescent="0.25">
      <c r="A92" s="1">
        <v>38899</v>
      </c>
      <c r="B92">
        <v>81.797200000000004</v>
      </c>
      <c r="C92">
        <f t="shared" si="2"/>
        <v>-3.8299999999992451E-2</v>
      </c>
      <c r="D92">
        <v>0</v>
      </c>
      <c r="E92">
        <v>8.6565561979936607E-3</v>
      </c>
      <c r="F92">
        <v>60.809294000000001</v>
      </c>
      <c r="G92">
        <v>65.027518999999998</v>
      </c>
      <c r="H92">
        <v>3.06</v>
      </c>
      <c r="I92">
        <v>3.37</v>
      </c>
      <c r="J92">
        <v>7.03</v>
      </c>
      <c r="K92">
        <v>3.58</v>
      </c>
      <c r="L92">
        <v>3.18</v>
      </c>
      <c r="M92">
        <v>3.5</v>
      </c>
      <c r="Q92">
        <v>10.985799999999999</v>
      </c>
      <c r="R92">
        <v>202.9</v>
      </c>
      <c r="S92">
        <v>2.3966035297665491</v>
      </c>
      <c r="T92">
        <f t="shared" si="3"/>
        <v>-3.6246376385935974</v>
      </c>
      <c r="U92">
        <v>4.107742639132046</v>
      </c>
      <c r="V92">
        <v>5.3127132468317688</v>
      </c>
      <c r="W92">
        <v>3.601574137466272</v>
      </c>
      <c r="X92">
        <v>0</v>
      </c>
      <c r="Y92">
        <v>-1.5</v>
      </c>
      <c r="Z92">
        <v>99.048900000000003</v>
      </c>
      <c r="AA92">
        <v>4.1046690610569518</v>
      </c>
      <c r="AB92">
        <v>5.24</v>
      </c>
      <c r="AC92">
        <v>5.2258415410000003</v>
      </c>
      <c r="AE92">
        <v>0</v>
      </c>
      <c r="AG92">
        <v>-6.0604550832258353E-3</v>
      </c>
    </row>
    <row r="93" spans="1:33" x14ac:dyDescent="0.25">
      <c r="A93" s="1">
        <v>38930</v>
      </c>
      <c r="B93">
        <v>82.005300000000005</v>
      </c>
      <c r="C93">
        <f t="shared" si="2"/>
        <v>0.20810000000000173</v>
      </c>
      <c r="D93">
        <v>0</v>
      </c>
      <c r="E93">
        <v>9.1767538507641095E-3</v>
      </c>
      <c r="F93">
        <v>61.119608999999997</v>
      </c>
      <c r="G93">
        <v>65.140822999999997</v>
      </c>
      <c r="H93">
        <v>3.47</v>
      </c>
      <c r="I93">
        <v>3.41</v>
      </c>
      <c r="J93">
        <v>7.03</v>
      </c>
      <c r="K93">
        <v>3.59</v>
      </c>
      <c r="L93">
        <v>3.2</v>
      </c>
      <c r="M93">
        <v>3.45</v>
      </c>
      <c r="Q93">
        <v>10.872</v>
      </c>
      <c r="R93">
        <v>203.8</v>
      </c>
      <c r="S93">
        <v>2.3861906768488428</v>
      </c>
      <c r="T93">
        <f t="shared" si="3"/>
        <v>-1.0412852917706328</v>
      </c>
      <c r="U93">
        <v>4.1128327475864932</v>
      </c>
      <c r="V93">
        <v>5.3171391207886236</v>
      </c>
      <c r="W93">
        <v>3.5904970500509741</v>
      </c>
      <c r="X93">
        <v>0</v>
      </c>
      <c r="Y93">
        <v>7.5</v>
      </c>
      <c r="Z93">
        <v>99.483599999999996</v>
      </c>
      <c r="AA93">
        <v>3.9265680775114822</v>
      </c>
      <c r="AB93">
        <v>5.25</v>
      </c>
      <c r="AC93">
        <v>5.2036030679999996</v>
      </c>
      <c r="AE93">
        <v>0</v>
      </c>
      <c r="AG93">
        <v>-6.0604550832258353E-3</v>
      </c>
    </row>
    <row r="94" spans="1:33" x14ac:dyDescent="0.25">
      <c r="A94" s="1">
        <v>38961</v>
      </c>
      <c r="B94">
        <v>81.975099999999998</v>
      </c>
      <c r="C94">
        <f t="shared" si="2"/>
        <v>-3.0200000000007776E-2</v>
      </c>
      <c r="D94">
        <v>0</v>
      </c>
      <c r="E94">
        <v>6.90144927848735E-3</v>
      </c>
      <c r="F94">
        <v>61.736612000000001</v>
      </c>
      <c r="G94">
        <v>65.497157999999999</v>
      </c>
      <c r="H94">
        <v>4.09</v>
      </c>
      <c r="I94">
        <v>3.48</v>
      </c>
      <c r="J94">
        <v>7.06</v>
      </c>
      <c r="K94">
        <v>3.52</v>
      </c>
      <c r="L94">
        <v>3.27</v>
      </c>
      <c r="M94">
        <v>3.5</v>
      </c>
      <c r="Q94">
        <v>10.985300000000001</v>
      </c>
      <c r="R94">
        <v>202.8</v>
      </c>
      <c r="S94">
        <v>2.3965580154318009</v>
      </c>
      <c r="T94">
        <f t="shared" si="3"/>
        <v>1.036733858295813</v>
      </c>
      <c r="U94">
        <v>4.1228771422848629</v>
      </c>
      <c r="V94">
        <v>5.3122202717170284</v>
      </c>
      <c r="W94">
        <v>3.5859011448639668</v>
      </c>
      <c r="X94">
        <v>0</v>
      </c>
      <c r="Y94">
        <v>2</v>
      </c>
      <c r="Z94">
        <v>99.318299999999994</v>
      </c>
      <c r="AA94">
        <v>2.0120724346076457</v>
      </c>
      <c r="AB94">
        <v>5.25</v>
      </c>
      <c r="AC94">
        <v>5.154019194</v>
      </c>
      <c r="AE94">
        <v>0</v>
      </c>
      <c r="AG94">
        <v>-6.0604550832258353E-3</v>
      </c>
    </row>
    <row r="95" spans="1:33" x14ac:dyDescent="0.25">
      <c r="A95" s="1">
        <v>38991</v>
      </c>
      <c r="B95">
        <v>82.208799999999997</v>
      </c>
      <c r="C95">
        <f t="shared" si="2"/>
        <v>0.23369999999999891</v>
      </c>
      <c r="D95">
        <v>0</v>
      </c>
      <c r="E95">
        <v>7.9599436152859599E-3</v>
      </c>
      <c r="F95">
        <v>62.006518999999997</v>
      </c>
      <c r="G95">
        <v>65.648492000000005</v>
      </c>
      <c r="H95">
        <v>4.29</v>
      </c>
      <c r="I95">
        <v>3.47</v>
      </c>
      <c r="J95">
        <v>7.05</v>
      </c>
      <c r="K95">
        <v>3.46</v>
      </c>
      <c r="L95">
        <v>3.29</v>
      </c>
      <c r="M95">
        <v>3.5</v>
      </c>
      <c r="Q95">
        <v>10.8971</v>
      </c>
      <c r="R95">
        <v>201.9</v>
      </c>
      <c r="S95">
        <v>2.3884966987903038</v>
      </c>
      <c r="T95">
        <f t="shared" si="3"/>
        <v>-0.80613166414971182</v>
      </c>
      <c r="U95">
        <v>4.127239524679017</v>
      </c>
      <c r="V95">
        <v>5.307772525318792</v>
      </c>
      <c r="W95">
        <v>3.5690296994300792</v>
      </c>
      <c r="X95">
        <v>0</v>
      </c>
      <c r="Y95">
        <v>4</v>
      </c>
      <c r="Z95">
        <v>99.204400000000007</v>
      </c>
      <c r="AA95">
        <v>1.4063284781516883</v>
      </c>
      <c r="AB95">
        <v>5.25</v>
      </c>
      <c r="AC95">
        <v>5.1526349009999999</v>
      </c>
      <c r="AE95">
        <v>0</v>
      </c>
      <c r="AG95">
        <v>-6.0604550832258353E-3</v>
      </c>
    </row>
    <row r="96" spans="1:33" x14ac:dyDescent="0.25">
      <c r="A96" s="1">
        <v>39022</v>
      </c>
      <c r="B96">
        <v>81.94</v>
      </c>
      <c r="C96">
        <f t="shared" si="2"/>
        <v>-0.26879999999999882</v>
      </c>
      <c r="D96">
        <v>0</v>
      </c>
      <c r="E96">
        <v>3.01967326509356E-3</v>
      </c>
      <c r="F96">
        <v>62.331856999999999</v>
      </c>
      <c r="G96">
        <v>65.820487999999997</v>
      </c>
      <c r="H96">
        <v>4.09</v>
      </c>
      <c r="I96">
        <v>3.53</v>
      </c>
      <c r="J96">
        <v>7.04</v>
      </c>
      <c r="K96">
        <v>3.5</v>
      </c>
      <c r="L96">
        <v>3.25</v>
      </c>
      <c r="M96">
        <v>3.47</v>
      </c>
      <c r="Q96">
        <v>10.9177</v>
      </c>
      <c r="R96">
        <v>202</v>
      </c>
      <c r="S96">
        <v>2.3903853254220579</v>
      </c>
      <c r="T96">
        <f t="shared" si="3"/>
        <v>0.18886266317541534</v>
      </c>
      <c r="U96">
        <v>4.1324726434140162</v>
      </c>
      <c r="V96">
        <v>5.3082676974012051</v>
      </c>
      <c r="W96">
        <v>3.5661803794092468</v>
      </c>
      <c r="X96">
        <v>0</v>
      </c>
      <c r="Y96">
        <v>0</v>
      </c>
      <c r="Z96">
        <v>99.162700000000001</v>
      </c>
      <c r="AA96">
        <v>1.9687026754164592</v>
      </c>
      <c r="AB96">
        <v>5.25</v>
      </c>
      <c r="AC96">
        <v>5.1282518039999996</v>
      </c>
      <c r="AE96">
        <v>0</v>
      </c>
      <c r="AG96">
        <v>-6.0604550832258353E-3</v>
      </c>
    </row>
    <row r="97" spans="1:33" x14ac:dyDescent="0.25">
      <c r="A97" s="1">
        <v>39052</v>
      </c>
      <c r="B97">
        <v>82.317099999999996</v>
      </c>
      <c r="C97">
        <f t="shared" si="2"/>
        <v>0.37709999999999866</v>
      </c>
      <c r="D97">
        <v>0</v>
      </c>
      <c r="E97">
        <v>6.0731185355793497E-3</v>
      </c>
      <c r="F97">
        <v>62.692424000000003</v>
      </c>
      <c r="G97">
        <v>66.080973</v>
      </c>
      <c r="H97">
        <v>4.05</v>
      </c>
      <c r="I97">
        <v>3.65</v>
      </c>
      <c r="J97">
        <v>7.04</v>
      </c>
      <c r="K97">
        <v>3.49</v>
      </c>
      <c r="L97">
        <v>3.3</v>
      </c>
      <c r="M97">
        <v>3.5</v>
      </c>
      <c r="Q97">
        <v>10.847899999999999</v>
      </c>
      <c r="R97">
        <v>203.1</v>
      </c>
      <c r="S97">
        <v>2.383971512866466</v>
      </c>
      <c r="T97">
        <f t="shared" si="3"/>
        <v>-0.64138125555919245</v>
      </c>
      <c r="U97">
        <v>4.1382406109923293</v>
      </c>
      <c r="V97">
        <v>5.3136984685863391</v>
      </c>
      <c r="W97">
        <v>3.5594293704604749</v>
      </c>
      <c r="X97">
        <v>0</v>
      </c>
      <c r="Y97">
        <v>-0.5</v>
      </c>
      <c r="Z97">
        <v>100.1735</v>
      </c>
      <c r="AA97">
        <v>2.5239777889954569</v>
      </c>
      <c r="AB97">
        <v>5.24</v>
      </c>
      <c r="AC97">
        <v>5.1680826509999997</v>
      </c>
      <c r="AE97">
        <v>0</v>
      </c>
      <c r="AG97">
        <v>-6.0604550832258353E-3</v>
      </c>
    </row>
    <row r="98" spans="1:33" x14ac:dyDescent="0.25">
      <c r="A98" s="1">
        <v>39083</v>
      </c>
      <c r="B98">
        <v>82.390199999999993</v>
      </c>
      <c r="C98">
        <f t="shared" si="2"/>
        <v>7.3099999999996612E-2</v>
      </c>
      <c r="D98">
        <v>0</v>
      </c>
      <c r="E98">
        <v>5.5533638796694297E-3</v>
      </c>
      <c r="F98">
        <v>63.016207999999999</v>
      </c>
      <c r="G98">
        <v>66.387752000000006</v>
      </c>
      <c r="H98">
        <v>3.98</v>
      </c>
      <c r="I98">
        <v>3.9</v>
      </c>
      <c r="J98">
        <v>7.04</v>
      </c>
      <c r="K98">
        <v>3.56</v>
      </c>
      <c r="L98">
        <v>3.43</v>
      </c>
      <c r="M98">
        <v>3.5</v>
      </c>
      <c r="Q98">
        <v>10.9529</v>
      </c>
      <c r="R98">
        <v>203.43700000000001</v>
      </c>
      <c r="S98">
        <v>2.3936042613811881</v>
      </c>
      <c r="T98">
        <f t="shared" si="3"/>
        <v>0.96327485147220671</v>
      </c>
      <c r="U98">
        <v>4.1433919631445919</v>
      </c>
      <c r="V98">
        <v>5.3153563746425716</v>
      </c>
      <c r="W98">
        <v>3.5655686728791669</v>
      </c>
      <c r="X98">
        <v>0</v>
      </c>
      <c r="Y98">
        <v>8</v>
      </c>
      <c r="Z98">
        <v>99.834599999999995</v>
      </c>
      <c r="AA98">
        <v>2.0757651781234321</v>
      </c>
      <c r="AB98">
        <v>5.25</v>
      </c>
      <c r="AC98">
        <v>5.142853068</v>
      </c>
      <c r="AE98">
        <v>0</v>
      </c>
      <c r="AG98">
        <v>-6.0604550832258353E-3</v>
      </c>
    </row>
    <row r="99" spans="1:33" x14ac:dyDescent="0.25">
      <c r="A99" s="1">
        <v>39114</v>
      </c>
      <c r="B99">
        <v>82.444299999999998</v>
      </c>
      <c r="C99">
        <f t="shared" si="2"/>
        <v>5.4100000000005366E-2</v>
      </c>
      <c r="D99">
        <v>-0.25</v>
      </c>
      <c r="E99">
        <v>4.9364335869261904E-3</v>
      </c>
      <c r="F99">
        <v>63.192346999999998</v>
      </c>
      <c r="G99">
        <v>66.640276</v>
      </c>
      <c r="H99">
        <v>4.1100000000000003</v>
      </c>
      <c r="I99">
        <v>3.96</v>
      </c>
      <c r="J99">
        <v>7.04</v>
      </c>
      <c r="K99">
        <v>3.52</v>
      </c>
      <c r="L99">
        <v>3.43</v>
      </c>
      <c r="M99">
        <v>3.5</v>
      </c>
      <c r="Q99">
        <v>10.9998</v>
      </c>
      <c r="R99">
        <v>204.226</v>
      </c>
      <c r="S99">
        <v>2.3978770908148981</v>
      </c>
      <c r="T99">
        <f t="shared" si="3"/>
        <v>0.42728294337099904</v>
      </c>
      <c r="U99">
        <v>4.1461832020484586</v>
      </c>
      <c r="V99">
        <v>5.3192272237761111</v>
      </c>
      <c r="W99">
        <v>3.5709211125425488</v>
      </c>
      <c r="X99">
        <v>0</v>
      </c>
      <c r="Y99">
        <v>10.5</v>
      </c>
      <c r="Z99">
        <v>100.7753</v>
      </c>
      <c r="AA99">
        <v>2.4202607823470377</v>
      </c>
      <c r="AB99">
        <v>5.26</v>
      </c>
      <c r="AC99">
        <v>5.1337784610000003</v>
      </c>
      <c r="AE99">
        <v>0</v>
      </c>
      <c r="AG99">
        <v>-0.22764259373224954</v>
      </c>
    </row>
    <row r="100" spans="1:33" x14ac:dyDescent="0.25">
      <c r="A100" s="1">
        <v>39142</v>
      </c>
      <c r="B100">
        <v>82.912499999999994</v>
      </c>
      <c r="C100">
        <f t="shared" si="2"/>
        <v>0.46819999999999595</v>
      </c>
      <c r="D100">
        <v>0</v>
      </c>
      <c r="E100">
        <v>9.4629547437206103E-3</v>
      </c>
      <c r="F100">
        <v>63.329113</v>
      </c>
      <c r="G100">
        <v>66.836656000000005</v>
      </c>
      <c r="H100">
        <v>4.21</v>
      </c>
      <c r="I100">
        <v>3.85</v>
      </c>
      <c r="J100">
        <v>7.04</v>
      </c>
      <c r="K100">
        <v>3.56</v>
      </c>
      <c r="L100">
        <v>3.4</v>
      </c>
      <c r="M100">
        <v>3.5</v>
      </c>
      <c r="Q100">
        <v>11.113899999999999</v>
      </c>
      <c r="R100">
        <v>205.28800000000001</v>
      </c>
      <c r="S100">
        <v>2.4081965771566418</v>
      </c>
      <c r="T100">
        <f t="shared" si="3"/>
        <v>1.0319486341743733</v>
      </c>
      <c r="U100">
        <v>4.1483451444299382</v>
      </c>
      <c r="V100">
        <v>5.3244138712693108</v>
      </c>
      <c r="W100">
        <v>3.584265303996014</v>
      </c>
      <c r="X100">
        <v>0</v>
      </c>
      <c r="Y100">
        <v>8</v>
      </c>
      <c r="Z100">
        <v>100.9547</v>
      </c>
      <c r="AA100">
        <v>2.7981972959439272</v>
      </c>
      <c r="AB100">
        <v>5.26</v>
      </c>
      <c r="AC100">
        <v>5.1754185719999999</v>
      </c>
      <c r="AE100">
        <v>0</v>
      </c>
      <c r="AG100">
        <v>-6.0604550832258353E-3</v>
      </c>
    </row>
    <row r="101" spans="1:33" x14ac:dyDescent="0.25">
      <c r="A101" s="1">
        <v>39173</v>
      </c>
      <c r="B101">
        <v>83.290300000000002</v>
      </c>
      <c r="C101">
        <f t="shared" si="2"/>
        <v>0.37780000000000769</v>
      </c>
      <c r="D101">
        <v>3.25</v>
      </c>
      <c r="E101">
        <v>1.30123221976612E-2</v>
      </c>
      <c r="F101">
        <v>63.291294999999998</v>
      </c>
      <c r="G101">
        <v>66.965979000000004</v>
      </c>
      <c r="H101">
        <v>3.99</v>
      </c>
      <c r="I101">
        <v>3.7</v>
      </c>
      <c r="J101">
        <v>7.01</v>
      </c>
      <c r="K101">
        <v>3.61</v>
      </c>
      <c r="L101">
        <v>3.4</v>
      </c>
      <c r="M101">
        <v>3.5</v>
      </c>
      <c r="Q101">
        <v>10.980600000000001</v>
      </c>
      <c r="R101">
        <v>205.904</v>
      </c>
      <c r="S101">
        <v>2.3961300793971541</v>
      </c>
      <c r="T101">
        <f t="shared" si="3"/>
        <v>-1.206649775948776</v>
      </c>
      <c r="U101">
        <v>4.1477477999461874</v>
      </c>
      <c r="V101">
        <v>5.3274100407513094</v>
      </c>
      <c r="W101">
        <v>3.5757923202022761</v>
      </c>
      <c r="X101">
        <v>0</v>
      </c>
      <c r="Y101">
        <v>25.5</v>
      </c>
      <c r="Z101">
        <v>101.63339999999999</v>
      </c>
      <c r="AA101">
        <v>2.5929247633283548</v>
      </c>
      <c r="AB101">
        <v>5.25</v>
      </c>
      <c r="AC101">
        <v>5.2180308919999998</v>
      </c>
      <c r="AE101">
        <v>0</v>
      </c>
      <c r="AG101">
        <v>2.8744727809552493</v>
      </c>
    </row>
    <row r="102" spans="1:33" x14ac:dyDescent="0.25">
      <c r="A102" s="1">
        <v>39203</v>
      </c>
      <c r="B102">
        <v>83.471299999999999</v>
      </c>
      <c r="C102">
        <f t="shared" si="2"/>
        <v>0.18099999999999739</v>
      </c>
      <c r="D102">
        <v>-1</v>
      </c>
      <c r="E102">
        <v>1.43276022724486E-2</v>
      </c>
      <c r="F102">
        <v>62.982534000000001</v>
      </c>
      <c r="G102">
        <v>67.098431000000005</v>
      </c>
      <c r="H102">
        <v>3.95</v>
      </c>
      <c r="I102">
        <v>3.76</v>
      </c>
      <c r="J102">
        <v>7.24</v>
      </c>
      <c r="K102">
        <v>3.74</v>
      </c>
      <c r="L102">
        <v>3.41</v>
      </c>
      <c r="M102">
        <v>3.5</v>
      </c>
      <c r="Q102">
        <v>10.816700000000001</v>
      </c>
      <c r="R102">
        <v>206.755</v>
      </c>
      <c r="S102">
        <v>2.3810912361413399</v>
      </c>
      <c r="T102">
        <f t="shared" si="3"/>
        <v>-1.5038843255814172</v>
      </c>
      <c r="U102">
        <v>4.1428574498587096</v>
      </c>
      <c r="V102">
        <v>5.3315345174082331</v>
      </c>
      <c r="W102">
        <v>3.569768303690863</v>
      </c>
      <c r="X102">
        <v>0</v>
      </c>
      <c r="Y102">
        <v>-1</v>
      </c>
      <c r="Z102">
        <v>101.7306</v>
      </c>
      <c r="AA102">
        <v>2.7098857426726202</v>
      </c>
      <c r="AB102">
        <v>5.25</v>
      </c>
      <c r="AC102">
        <v>5.1018462070000004</v>
      </c>
      <c r="AE102">
        <v>0</v>
      </c>
      <c r="AG102">
        <v>-0.82907488915119498</v>
      </c>
    </row>
    <row r="103" spans="1:33" x14ac:dyDescent="0.25">
      <c r="A103" s="1">
        <v>39234</v>
      </c>
      <c r="B103">
        <v>83.820499999999996</v>
      </c>
      <c r="C103">
        <f t="shared" si="2"/>
        <v>0.34919999999999618</v>
      </c>
      <c r="D103">
        <v>-0.75</v>
      </c>
      <c r="E103">
        <v>1.7789273787670399E-2</v>
      </c>
      <c r="F103">
        <v>63.058169999999997</v>
      </c>
      <c r="G103">
        <v>67.290177</v>
      </c>
      <c r="H103">
        <v>3.98</v>
      </c>
      <c r="I103">
        <v>3.75</v>
      </c>
      <c r="J103">
        <v>7.2</v>
      </c>
      <c r="K103">
        <v>3.83</v>
      </c>
      <c r="L103">
        <v>3.42</v>
      </c>
      <c r="M103">
        <v>3.45</v>
      </c>
      <c r="Q103">
        <v>10.835000000000001</v>
      </c>
      <c r="R103">
        <v>207.23400000000001</v>
      </c>
      <c r="S103">
        <v>2.382781634988322</v>
      </c>
      <c r="T103">
        <f t="shared" si="3"/>
        <v>0.16903988469820774</v>
      </c>
      <c r="U103">
        <v>4.1440576337148567</v>
      </c>
      <c r="V103">
        <v>5.3338485895876921</v>
      </c>
      <c r="W103">
        <v>3.5725725908611579</v>
      </c>
      <c r="X103">
        <v>0</v>
      </c>
      <c r="Y103">
        <v>-6</v>
      </c>
      <c r="Z103">
        <v>101.7893</v>
      </c>
      <c r="AA103">
        <v>2.6927651139742306</v>
      </c>
      <c r="AB103">
        <v>5.25</v>
      </c>
      <c r="AC103">
        <v>5.0067699660000002</v>
      </c>
      <c r="AE103">
        <v>0</v>
      </c>
      <c r="AG103">
        <v>-0.87022042589476845</v>
      </c>
    </row>
    <row r="104" spans="1:33" x14ac:dyDescent="0.25">
      <c r="A104" s="1">
        <v>39264</v>
      </c>
      <c r="B104">
        <v>83.676599999999993</v>
      </c>
      <c r="C104">
        <f t="shared" si="2"/>
        <v>-0.14390000000000214</v>
      </c>
      <c r="D104">
        <v>-1</v>
      </c>
      <c r="E104">
        <v>1.55003713284287E-2</v>
      </c>
      <c r="F104">
        <v>63.326005000000002</v>
      </c>
      <c r="G104">
        <v>67.494556000000003</v>
      </c>
      <c r="H104">
        <v>4.1399999999999997</v>
      </c>
      <c r="I104">
        <v>3.79</v>
      </c>
      <c r="J104">
        <v>7.19</v>
      </c>
      <c r="K104">
        <v>3.83</v>
      </c>
      <c r="L104">
        <v>3.37</v>
      </c>
      <c r="M104">
        <v>3.45</v>
      </c>
      <c r="Q104">
        <v>10.8109</v>
      </c>
      <c r="R104">
        <v>207.60300000000001</v>
      </c>
      <c r="S104">
        <v>2.380554884429726</v>
      </c>
      <c r="T104">
        <f t="shared" si="3"/>
        <v>-0.22267505585960023</v>
      </c>
      <c r="U104">
        <v>4.1482960662710813</v>
      </c>
      <c r="V104">
        <v>5.3356276020543731</v>
      </c>
      <c r="W104">
        <v>3.5678864202130178</v>
      </c>
      <c r="X104">
        <v>0</v>
      </c>
      <c r="Y104">
        <v>-3</v>
      </c>
      <c r="Z104">
        <v>101.66719999999999</v>
      </c>
      <c r="AA104">
        <v>2.3178905864958121</v>
      </c>
      <c r="AB104">
        <v>5.26</v>
      </c>
      <c r="AC104">
        <v>5.0206586470000003</v>
      </c>
      <c r="AE104">
        <v>0</v>
      </c>
      <c r="AG104">
        <v>-0.82907488915119498</v>
      </c>
    </row>
    <row r="105" spans="1:33" x14ac:dyDescent="0.25">
      <c r="A105" s="1">
        <v>39295</v>
      </c>
      <c r="B105">
        <v>83.870199999999997</v>
      </c>
      <c r="C105">
        <f t="shared" si="2"/>
        <v>0.19360000000000355</v>
      </c>
      <c r="D105">
        <v>-0.5</v>
      </c>
      <c r="E105">
        <v>1.7381886558188099E-2</v>
      </c>
      <c r="F105">
        <v>63.583995999999999</v>
      </c>
      <c r="G105">
        <v>67.677198000000004</v>
      </c>
      <c r="H105">
        <v>4.03</v>
      </c>
      <c r="I105">
        <v>3.89</v>
      </c>
      <c r="J105">
        <v>7.2</v>
      </c>
      <c r="K105">
        <v>3.79</v>
      </c>
      <c r="L105">
        <v>3.4</v>
      </c>
      <c r="M105">
        <v>3.41</v>
      </c>
      <c r="Q105">
        <v>11.0456</v>
      </c>
      <c r="R105">
        <v>207.667</v>
      </c>
      <c r="S105">
        <v>2.402032158619805</v>
      </c>
      <c r="T105">
        <f t="shared" si="3"/>
        <v>2.1477274190079054</v>
      </c>
      <c r="U105">
        <v>4.1523618034604963</v>
      </c>
      <c r="V105">
        <v>5.3359358352544914</v>
      </c>
      <c r="W105">
        <v>3.585606190413801</v>
      </c>
      <c r="X105">
        <v>0</v>
      </c>
      <c r="Y105">
        <v>-0.5</v>
      </c>
      <c r="Z105">
        <v>101.863</v>
      </c>
      <c r="AA105">
        <v>1.8974484789008781</v>
      </c>
      <c r="AB105">
        <v>5.0199999999999996</v>
      </c>
      <c r="AC105">
        <v>4.6378709440000003</v>
      </c>
      <c r="AE105">
        <v>0</v>
      </c>
      <c r="AG105">
        <v>-0.41756191105073831</v>
      </c>
    </row>
    <row r="106" spans="1:33" x14ac:dyDescent="0.25">
      <c r="A106" s="1">
        <v>39326</v>
      </c>
      <c r="B106">
        <v>84.041899999999998</v>
      </c>
      <c r="C106">
        <f t="shared" si="2"/>
        <v>0.1717000000000013</v>
      </c>
      <c r="D106">
        <v>-0.25</v>
      </c>
      <c r="E106">
        <v>1.9136396908154801E-2</v>
      </c>
      <c r="F106">
        <v>64.077703</v>
      </c>
      <c r="G106">
        <v>68.000912</v>
      </c>
      <c r="H106">
        <v>3.79</v>
      </c>
      <c r="I106">
        <v>3.82</v>
      </c>
      <c r="J106">
        <v>7.21</v>
      </c>
      <c r="K106">
        <v>3.76</v>
      </c>
      <c r="L106">
        <v>3.46</v>
      </c>
      <c r="M106">
        <v>3.5</v>
      </c>
      <c r="Q106">
        <v>11.031499999999999</v>
      </c>
      <c r="R106">
        <v>208.547</v>
      </c>
      <c r="S106">
        <v>2.4007548167662889</v>
      </c>
      <c r="T106">
        <f t="shared" si="3"/>
        <v>-0.12773418535161341</v>
      </c>
      <c r="U106">
        <v>4.1600964562998994</v>
      </c>
      <c r="V106">
        <v>5.34016443549993</v>
      </c>
      <c r="W106">
        <v>3.5808227959663199</v>
      </c>
      <c r="X106">
        <v>0</v>
      </c>
      <c r="Y106">
        <v>3</v>
      </c>
      <c r="Z106">
        <v>102.0894</v>
      </c>
      <c r="AA106">
        <v>2.8338264299802689</v>
      </c>
      <c r="AB106">
        <v>4.9400000000000004</v>
      </c>
      <c r="AC106">
        <v>4.2914355139999998</v>
      </c>
      <c r="AE106">
        <v>0</v>
      </c>
      <c r="AG106">
        <v>-0.21181118306698207</v>
      </c>
    </row>
    <row r="107" spans="1:33" x14ac:dyDescent="0.25">
      <c r="A107" s="1">
        <v>39356</v>
      </c>
      <c r="B107">
        <v>83.918899999999994</v>
      </c>
      <c r="C107">
        <f t="shared" si="2"/>
        <v>-0.12300000000000466</v>
      </c>
      <c r="D107">
        <v>3.25</v>
      </c>
      <c r="E107">
        <v>1.7516520399447601E-2</v>
      </c>
      <c r="F107">
        <v>64.327404999999999</v>
      </c>
      <c r="G107">
        <v>68.223752000000005</v>
      </c>
      <c r="H107">
        <v>3.74</v>
      </c>
      <c r="I107">
        <v>3.92</v>
      </c>
      <c r="J107">
        <v>7.2</v>
      </c>
      <c r="K107">
        <v>3.75</v>
      </c>
      <c r="L107">
        <v>3.49</v>
      </c>
      <c r="M107">
        <v>3.51</v>
      </c>
      <c r="Q107">
        <v>10.8231</v>
      </c>
      <c r="R107">
        <v>209.19</v>
      </c>
      <c r="S107">
        <v>2.381682738852696</v>
      </c>
      <c r="T107">
        <f t="shared" si="3"/>
        <v>-1.9072077913592889</v>
      </c>
      <c r="U107">
        <v>4.1639857457316127</v>
      </c>
      <c r="V107">
        <v>5.3432429299010291</v>
      </c>
      <c r="W107">
        <v>3.5609399230221119</v>
      </c>
      <c r="X107">
        <v>0</v>
      </c>
      <c r="Y107">
        <v>7</v>
      </c>
      <c r="Z107">
        <v>101.8015</v>
      </c>
      <c r="AA107">
        <v>3.6106983655274849</v>
      </c>
      <c r="AB107">
        <v>4.76</v>
      </c>
      <c r="AC107">
        <v>4.2926073740000001</v>
      </c>
      <c r="AE107">
        <v>0</v>
      </c>
      <c r="AG107">
        <v>2.0743297807814258</v>
      </c>
    </row>
    <row r="108" spans="1:33" x14ac:dyDescent="0.25">
      <c r="A108" s="1">
        <v>39387</v>
      </c>
      <c r="B108">
        <v>83.599400000000003</v>
      </c>
      <c r="C108">
        <f t="shared" si="2"/>
        <v>-0.31949999999999079</v>
      </c>
      <c r="D108">
        <v>-0.25</v>
      </c>
      <c r="E108">
        <v>1.3677274034608699E-2</v>
      </c>
      <c r="F108">
        <v>64.781221000000002</v>
      </c>
      <c r="G108">
        <v>68.378478999999999</v>
      </c>
      <c r="H108">
        <v>3.93</v>
      </c>
      <c r="I108">
        <v>3.89</v>
      </c>
      <c r="J108">
        <v>7.44</v>
      </c>
      <c r="K108">
        <v>3.95</v>
      </c>
      <c r="L108">
        <v>3.7</v>
      </c>
      <c r="M108">
        <v>3.52</v>
      </c>
      <c r="Q108">
        <v>10.8866</v>
      </c>
      <c r="R108">
        <v>210.834</v>
      </c>
      <c r="S108">
        <v>2.3875326751567449</v>
      </c>
      <c r="T108">
        <f t="shared" si="3"/>
        <v>0.58499363040489527</v>
      </c>
      <c r="U108">
        <v>4.171015761975557</v>
      </c>
      <c r="V108">
        <v>5.3510710939839026</v>
      </c>
      <c r="W108">
        <v>3.5675880071650909</v>
      </c>
      <c r="X108">
        <v>0</v>
      </c>
      <c r="Y108">
        <v>-3</v>
      </c>
      <c r="Z108">
        <v>102.3446</v>
      </c>
      <c r="AA108">
        <v>4.3732673267326749</v>
      </c>
      <c r="AB108">
        <v>4.49</v>
      </c>
      <c r="AC108">
        <v>3.687703349</v>
      </c>
      <c r="AE108">
        <v>0</v>
      </c>
      <c r="AG108">
        <v>-0.19809984486343893</v>
      </c>
    </row>
    <row r="109" spans="1:33" x14ac:dyDescent="0.25">
      <c r="A109" s="1">
        <v>39417</v>
      </c>
      <c r="B109">
        <v>83.641300000000001</v>
      </c>
      <c r="C109">
        <f t="shared" si="2"/>
        <v>4.1899999999998272E-2</v>
      </c>
      <c r="D109">
        <v>0</v>
      </c>
      <c r="E109">
        <v>1.4278070815030301E-2</v>
      </c>
      <c r="F109">
        <v>65.049055999999993</v>
      </c>
      <c r="G109">
        <v>68.639820999999998</v>
      </c>
      <c r="H109">
        <v>3.76</v>
      </c>
      <c r="I109">
        <v>3.87</v>
      </c>
      <c r="J109">
        <v>7.44</v>
      </c>
      <c r="K109">
        <v>3.85</v>
      </c>
      <c r="L109">
        <v>3.73</v>
      </c>
      <c r="M109">
        <v>3.5</v>
      </c>
      <c r="Q109">
        <v>10.8484</v>
      </c>
      <c r="R109">
        <v>211.44499999999999</v>
      </c>
      <c r="S109">
        <v>2.3840176036745842</v>
      </c>
      <c r="T109">
        <f t="shared" si="3"/>
        <v>-0.3515071482160792</v>
      </c>
      <c r="U109">
        <v>4.1751416929393033</v>
      </c>
      <c r="V109">
        <v>5.3539649173868513</v>
      </c>
      <c r="W109">
        <v>3.5628408281221309</v>
      </c>
      <c r="X109">
        <v>0</v>
      </c>
      <c r="Y109">
        <v>2</v>
      </c>
      <c r="Z109">
        <v>102.38030000000001</v>
      </c>
      <c r="AA109">
        <v>4.1088133924175274</v>
      </c>
      <c r="AB109">
        <v>4.24</v>
      </c>
      <c r="AC109">
        <v>3.6986543420000002</v>
      </c>
      <c r="AE109">
        <v>0</v>
      </c>
      <c r="AG109">
        <v>-6.0604550832258353E-3</v>
      </c>
    </row>
    <row r="110" spans="1:33" x14ac:dyDescent="0.25">
      <c r="A110" s="1">
        <v>39448</v>
      </c>
      <c r="B110">
        <v>84.133799999999994</v>
      </c>
      <c r="C110">
        <f t="shared" si="2"/>
        <v>0.49249999999999261</v>
      </c>
      <c r="D110">
        <v>0</v>
      </c>
      <c r="E110">
        <v>2.03662107670937E-2</v>
      </c>
      <c r="F110">
        <v>65.350564000000006</v>
      </c>
      <c r="G110">
        <v>68.937511999999998</v>
      </c>
      <c r="H110">
        <v>3.7</v>
      </c>
      <c r="I110">
        <v>3.84</v>
      </c>
      <c r="J110">
        <v>7.42</v>
      </c>
      <c r="K110">
        <v>3.72</v>
      </c>
      <c r="L110">
        <v>3.59</v>
      </c>
      <c r="M110">
        <v>3.4</v>
      </c>
      <c r="Q110">
        <v>10.91</v>
      </c>
      <c r="R110">
        <v>212.17400000000001</v>
      </c>
      <c r="S110">
        <v>2.3896797998449788</v>
      </c>
      <c r="T110">
        <f t="shared" si="3"/>
        <v>0.56621961703946511</v>
      </c>
      <c r="U110">
        <v>4.179766070484404</v>
      </c>
      <c r="V110">
        <v>5.3574066927540249</v>
      </c>
      <c r="W110">
        <v>3.5673204221146011</v>
      </c>
      <c r="X110" s="4">
        <v>0</v>
      </c>
      <c r="Y110">
        <v>-2.5</v>
      </c>
      <c r="Z110">
        <v>102.2448</v>
      </c>
      <c r="AA110">
        <v>4.2946956551659703</v>
      </c>
      <c r="AB110">
        <v>3.94</v>
      </c>
      <c r="AC110">
        <v>2.6558561030000001</v>
      </c>
      <c r="AE110">
        <v>0</v>
      </c>
      <c r="AF110">
        <v>0</v>
      </c>
      <c r="AG110">
        <v>-6.0604550832258353E-3</v>
      </c>
    </row>
    <row r="111" spans="1:33" x14ac:dyDescent="0.25">
      <c r="A111" s="1">
        <v>39479</v>
      </c>
      <c r="B111">
        <v>84.251599999999996</v>
      </c>
      <c r="C111">
        <f t="shared" si="2"/>
        <v>0.11780000000000257</v>
      </c>
      <c r="D111">
        <v>0</v>
      </c>
      <c r="E111">
        <v>2.2091995203194999E-2</v>
      </c>
      <c r="F111">
        <v>65.544833999999994</v>
      </c>
      <c r="G111">
        <v>69.233883000000006</v>
      </c>
      <c r="H111">
        <v>3.72</v>
      </c>
      <c r="I111">
        <v>3.89</v>
      </c>
      <c r="J111">
        <v>7.43</v>
      </c>
      <c r="K111">
        <v>3.75</v>
      </c>
      <c r="L111">
        <v>3.72</v>
      </c>
      <c r="M111">
        <v>3.4</v>
      </c>
      <c r="Q111">
        <v>10.766500000000001</v>
      </c>
      <c r="R111">
        <v>212.68700000000001</v>
      </c>
      <c r="S111">
        <v>2.3764394615645261</v>
      </c>
      <c r="T111">
        <f t="shared" si="3"/>
        <v>-1.3240338280452679</v>
      </c>
      <c r="U111">
        <v>4.1827343970353823</v>
      </c>
      <c r="V111">
        <v>5.359821601391479</v>
      </c>
      <c r="W111">
        <v>3.5535266659206219</v>
      </c>
      <c r="X111">
        <v>0</v>
      </c>
      <c r="Y111">
        <v>-2</v>
      </c>
      <c r="Z111">
        <v>101.8438</v>
      </c>
      <c r="AA111">
        <v>4.1429592706119758</v>
      </c>
      <c r="AB111">
        <v>2.98</v>
      </c>
      <c r="AC111">
        <v>2.1378659099999999</v>
      </c>
      <c r="AE111">
        <v>0</v>
      </c>
      <c r="AF111">
        <v>0</v>
      </c>
      <c r="AG111">
        <v>-6.0604550832258353E-3</v>
      </c>
    </row>
    <row r="112" spans="1:33" x14ac:dyDescent="0.25">
      <c r="A112" s="1">
        <v>39508</v>
      </c>
      <c r="B112">
        <v>83.088700000000003</v>
      </c>
      <c r="C112">
        <f t="shared" si="2"/>
        <v>-1.1628999999999934</v>
      </c>
      <c r="D112">
        <v>0.25</v>
      </c>
      <c r="E112">
        <v>8.6197888557668599E-3</v>
      </c>
      <c r="F112">
        <v>66.019891000000001</v>
      </c>
      <c r="G112">
        <v>69.571476000000004</v>
      </c>
      <c r="H112">
        <v>4.25</v>
      </c>
      <c r="I112">
        <v>4.09</v>
      </c>
      <c r="J112">
        <v>7.43</v>
      </c>
      <c r="K112">
        <v>3.61</v>
      </c>
      <c r="L112">
        <v>3.7</v>
      </c>
      <c r="M112">
        <v>3.43</v>
      </c>
      <c r="Q112">
        <v>10.731299999999999</v>
      </c>
      <c r="R112">
        <v>213.44800000000001</v>
      </c>
      <c r="S112">
        <v>2.3731647049422531</v>
      </c>
      <c r="T112">
        <f t="shared" si="3"/>
        <v>-0.32747566222730562</v>
      </c>
      <c r="U112">
        <v>4.1899560754088396</v>
      </c>
      <c r="V112">
        <v>5.3633932432842242</v>
      </c>
      <c r="W112">
        <v>3.5466018728176372</v>
      </c>
      <c r="X112">
        <v>0</v>
      </c>
      <c r="Y112">
        <v>-6</v>
      </c>
      <c r="Z112">
        <v>101.53360000000001</v>
      </c>
      <c r="AA112">
        <v>3.9749035501344432</v>
      </c>
      <c r="AB112">
        <v>2.61</v>
      </c>
      <c r="AC112">
        <v>1.874528626</v>
      </c>
      <c r="AE112">
        <v>0</v>
      </c>
      <c r="AF112">
        <v>0.25</v>
      </c>
      <c r="AG112">
        <v>0.21552168356579787</v>
      </c>
    </row>
    <row r="113" spans="1:33" x14ac:dyDescent="0.25">
      <c r="A113" s="1">
        <v>39539</v>
      </c>
      <c r="B113">
        <v>84.689099999999996</v>
      </c>
      <c r="C113">
        <f t="shared" si="2"/>
        <v>1.6003999999999934</v>
      </c>
      <c r="D113">
        <v>0</v>
      </c>
      <c r="E113">
        <v>2.8213701902521E-2</v>
      </c>
      <c r="F113">
        <v>66.170126999999994</v>
      </c>
      <c r="G113">
        <v>69.845045999999996</v>
      </c>
      <c r="H113">
        <v>4.55</v>
      </c>
      <c r="I113">
        <v>4.3</v>
      </c>
      <c r="J113">
        <v>7.44</v>
      </c>
      <c r="K113">
        <v>3.68</v>
      </c>
      <c r="L113">
        <v>3.73</v>
      </c>
      <c r="M113">
        <v>3.41</v>
      </c>
      <c r="Q113">
        <v>10.5154</v>
      </c>
      <c r="R113">
        <v>213.94200000000001</v>
      </c>
      <c r="S113">
        <v>2.3528408493250881</v>
      </c>
      <c r="T113">
        <f t="shared" si="3"/>
        <v>-2.0323855617164988</v>
      </c>
      <c r="U113">
        <v>4.1922291073209017</v>
      </c>
      <c r="V113">
        <v>5.3657049502497323</v>
      </c>
      <c r="W113">
        <v>3.5263166922539182</v>
      </c>
      <c r="X113">
        <v>0</v>
      </c>
      <c r="Y113">
        <v>7.3000001907348633</v>
      </c>
      <c r="Z113">
        <v>100.8785</v>
      </c>
      <c r="AA113">
        <v>3.9037609759888161</v>
      </c>
      <c r="AB113">
        <v>2.2799999999999998</v>
      </c>
      <c r="AC113">
        <v>1.812423363</v>
      </c>
      <c r="AE113">
        <v>0</v>
      </c>
      <c r="AF113">
        <v>0</v>
      </c>
      <c r="AG113">
        <v>-6.0604550832258353E-3</v>
      </c>
    </row>
    <row r="114" spans="1:33" x14ac:dyDescent="0.25">
      <c r="A114" s="1">
        <v>39569</v>
      </c>
      <c r="B114">
        <v>84.244</v>
      </c>
      <c r="C114">
        <f t="shared" si="2"/>
        <v>-0.4450999999999965</v>
      </c>
      <c r="D114">
        <v>0</v>
      </c>
      <c r="E114">
        <v>2.3537399815105602E-2</v>
      </c>
      <c r="F114">
        <v>66.098635000000002</v>
      </c>
      <c r="G114">
        <v>70.178061999999997</v>
      </c>
      <c r="H114">
        <v>4.95</v>
      </c>
      <c r="I114">
        <v>4.59</v>
      </c>
      <c r="J114">
        <v>7.44</v>
      </c>
      <c r="K114">
        <v>3.82</v>
      </c>
      <c r="L114">
        <v>3.88</v>
      </c>
      <c r="M114">
        <v>3.45</v>
      </c>
      <c r="Q114">
        <v>10.4352</v>
      </c>
      <c r="R114">
        <v>215.208</v>
      </c>
      <c r="S114">
        <v>2.345184706612863</v>
      </c>
      <c r="T114">
        <f t="shared" si="3"/>
        <v>-0.76561427122250336</v>
      </c>
      <c r="U114">
        <v>4.1911480961149143</v>
      </c>
      <c r="V114">
        <v>5.3716050023178559</v>
      </c>
      <c r="W114">
        <v>3.525641612815805</v>
      </c>
      <c r="X114">
        <v>0</v>
      </c>
      <c r="Y114">
        <v>-3</v>
      </c>
      <c r="Z114">
        <v>100.26739999999999</v>
      </c>
      <c r="AA114">
        <v>4.0884138231239886</v>
      </c>
      <c r="AB114">
        <v>1.98</v>
      </c>
      <c r="AC114">
        <v>1.9564371030000001</v>
      </c>
      <c r="AE114">
        <v>0</v>
      </c>
      <c r="AF114">
        <v>0</v>
      </c>
      <c r="AG114">
        <v>-6.0604550832258353E-3</v>
      </c>
    </row>
    <row r="115" spans="1:33" x14ac:dyDescent="0.25">
      <c r="A115" s="1">
        <v>39600</v>
      </c>
      <c r="B115">
        <v>84.916600000000003</v>
      </c>
      <c r="C115">
        <f t="shared" si="2"/>
        <v>0.67260000000000275</v>
      </c>
      <c r="D115">
        <v>2.25</v>
      </c>
      <c r="E115">
        <v>3.2146922794934703E-2</v>
      </c>
      <c r="F115">
        <v>66.372168000000002</v>
      </c>
      <c r="G115">
        <v>70.507677999999999</v>
      </c>
      <c r="H115">
        <v>5.26</v>
      </c>
      <c r="I115">
        <v>4.78</v>
      </c>
      <c r="J115">
        <v>7.56</v>
      </c>
      <c r="K115">
        <v>3.84</v>
      </c>
      <c r="L115">
        <v>3.8</v>
      </c>
      <c r="M115">
        <v>3.5</v>
      </c>
      <c r="Q115">
        <v>10.3292</v>
      </c>
      <c r="R115">
        <v>217.46299999999999</v>
      </c>
      <c r="S115">
        <v>2.334974835795697</v>
      </c>
      <c r="T115">
        <f t="shared" si="3"/>
        <v>-1.0209870817166067</v>
      </c>
      <c r="U115">
        <v>4.1952778119851883</v>
      </c>
      <c r="V115">
        <v>5.382028721115022</v>
      </c>
      <c r="W115">
        <v>3.5217257449255301</v>
      </c>
      <c r="X115">
        <v>8.3333333333333037E-2</v>
      </c>
      <c r="Y115">
        <v>8</v>
      </c>
      <c r="Z115">
        <v>100.0335</v>
      </c>
      <c r="AA115">
        <v>4.9359661059478581</v>
      </c>
      <c r="AB115">
        <v>2</v>
      </c>
      <c r="AC115">
        <v>2.0540120759999998</v>
      </c>
      <c r="AE115">
        <v>8.3333333333333037E-2</v>
      </c>
      <c r="AF115">
        <v>2.25</v>
      </c>
      <c r="AG115">
        <v>1.5189284064743753</v>
      </c>
    </row>
    <row r="116" spans="1:33" x14ac:dyDescent="0.25">
      <c r="A116" s="1">
        <v>39630</v>
      </c>
      <c r="B116">
        <v>84.85</v>
      </c>
      <c r="C116">
        <f t="shared" si="2"/>
        <v>-6.6600000000008208E-2</v>
      </c>
      <c r="D116">
        <v>1.25</v>
      </c>
      <c r="E116">
        <v>3.2068471584567597E-2</v>
      </c>
      <c r="F116">
        <v>66.742058999999998</v>
      </c>
      <c r="G116">
        <v>70.790647000000007</v>
      </c>
      <c r="H116">
        <v>5.39</v>
      </c>
      <c r="I116">
        <v>4.88</v>
      </c>
      <c r="J116">
        <v>7.93</v>
      </c>
      <c r="K116">
        <v>3.94</v>
      </c>
      <c r="L116">
        <v>3.9</v>
      </c>
      <c r="M116">
        <v>3.57</v>
      </c>
      <c r="Q116">
        <v>10.2155</v>
      </c>
      <c r="R116">
        <v>219.01599999999999</v>
      </c>
      <c r="S116">
        <v>2.3239061746977301</v>
      </c>
      <c r="T116">
        <f t="shared" si="3"/>
        <v>-1.1068661097966892</v>
      </c>
      <c r="U116">
        <v>4.2008353239111731</v>
      </c>
      <c r="V116">
        <v>5.3891447865085267</v>
      </c>
      <c r="W116">
        <v>3.5122156372950841</v>
      </c>
      <c r="X116">
        <v>0.14130434782608692</v>
      </c>
      <c r="Y116">
        <v>16</v>
      </c>
      <c r="Z116">
        <v>99.676000000000002</v>
      </c>
      <c r="AA116">
        <v>5.4975120783418259</v>
      </c>
      <c r="AB116">
        <v>2.0099999999999998</v>
      </c>
      <c r="AC116">
        <v>2.052309765</v>
      </c>
      <c r="AE116">
        <v>0.14130434782608692</v>
      </c>
      <c r="AF116">
        <v>1.25</v>
      </c>
      <c r="AG116">
        <v>0.79408254509059784</v>
      </c>
    </row>
    <row r="117" spans="1:33" x14ac:dyDescent="0.25">
      <c r="A117" s="1">
        <v>39661</v>
      </c>
      <c r="B117">
        <v>83.934100000000001</v>
      </c>
      <c r="C117">
        <f t="shared" si="2"/>
        <v>-0.9158999999999935</v>
      </c>
      <c r="D117">
        <v>1.25</v>
      </c>
      <c r="E117">
        <v>2.19531085879314E-2</v>
      </c>
      <c r="F117">
        <v>67.127492000000004</v>
      </c>
      <c r="G117">
        <v>71.083044000000001</v>
      </c>
      <c r="H117">
        <v>5.57</v>
      </c>
      <c r="I117">
        <v>5.03</v>
      </c>
      <c r="J117">
        <v>8.18</v>
      </c>
      <c r="K117">
        <v>4.26</v>
      </c>
      <c r="L117">
        <v>4.1100000000000003</v>
      </c>
      <c r="M117">
        <v>3.6</v>
      </c>
      <c r="O117">
        <v>3.46</v>
      </c>
      <c r="Q117">
        <v>10.109500000000001</v>
      </c>
      <c r="R117">
        <v>218.69</v>
      </c>
      <c r="S117">
        <v>2.313475575825219</v>
      </c>
      <c r="T117">
        <f t="shared" si="3"/>
        <v>-1.0430598872511077</v>
      </c>
      <c r="U117">
        <v>4.206593676907147</v>
      </c>
      <c r="V117">
        <v>5.3876552019002313</v>
      </c>
      <c r="W117">
        <v>3.4945371008183019</v>
      </c>
      <c r="X117">
        <v>0</v>
      </c>
      <c r="Y117">
        <v>-13.899999618530273</v>
      </c>
      <c r="Z117">
        <v>98.111099999999993</v>
      </c>
      <c r="AA117">
        <v>5.3080171620912306</v>
      </c>
      <c r="AB117">
        <v>2</v>
      </c>
      <c r="AC117">
        <v>2.126082808</v>
      </c>
      <c r="AE117">
        <v>0</v>
      </c>
      <c r="AF117">
        <v>1.25</v>
      </c>
      <c r="AG117">
        <v>0.71407285392639297</v>
      </c>
    </row>
    <row r="118" spans="1:33" x14ac:dyDescent="0.25">
      <c r="A118" s="1">
        <v>39692</v>
      </c>
      <c r="B118">
        <v>83.688000000000002</v>
      </c>
      <c r="C118">
        <f t="shared" si="2"/>
        <v>-0.24609999999999843</v>
      </c>
      <c r="D118">
        <v>-0.25</v>
      </c>
      <c r="E118">
        <v>1.97663054941133E-2</v>
      </c>
      <c r="F118">
        <v>67.584935000000002</v>
      </c>
      <c r="G118">
        <v>71.497967000000003</v>
      </c>
      <c r="H118">
        <v>5.47</v>
      </c>
      <c r="I118">
        <v>5.14</v>
      </c>
      <c r="J118">
        <v>8.17</v>
      </c>
      <c r="K118">
        <v>4.1500000000000004</v>
      </c>
      <c r="L118">
        <v>4.08</v>
      </c>
      <c r="M118">
        <v>3.6</v>
      </c>
      <c r="O118">
        <v>3.4</v>
      </c>
      <c r="Q118">
        <v>10.643700000000001</v>
      </c>
      <c r="R118">
        <v>218.87700000000001</v>
      </c>
      <c r="S118">
        <v>2.364968167825344</v>
      </c>
      <c r="T118">
        <f t="shared" si="3"/>
        <v>5.1492592000125015</v>
      </c>
      <c r="U118">
        <v>4.2133851031834606</v>
      </c>
      <c r="V118">
        <v>5.3885099281999036</v>
      </c>
      <c r="W118">
        <v>3.5400929928417879</v>
      </c>
      <c r="X118">
        <v>0</v>
      </c>
      <c r="Y118">
        <v>-14.399999618530273</v>
      </c>
      <c r="Z118">
        <v>93.789500000000004</v>
      </c>
      <c r="AA118">
        <v>4.9533198751360672</v>
      </c>
      <c r="AB118">
        <v>1.81</v>
      </c>
      <c r="AC118">
        <v>1.911304262</v>
      </c>
      <c r="AE118">
        <v>0</v>
      </c>
      <c r="AF118">
        <v>-0.25</v>
      </c>
      <c r="AG118">
        <v>-0.18609378233563054</v>
      </c>
    </row>
    <row r="119" spans="1:33" x14ac:dyDescent="0.25">
      <c r="A119" s="1">
        <v>39722</v>
      </c>
      <c r="B119">
        <v>83.773200000000003</v>
      </c>
      <c r="C119">
        <f t="shared" si="2"/>
        <v>8.5200000000000387E-2</v>
      </c>
      <c r="D119">
        <v>0.5</v>
      </c>
      <c r="E119">
        <v>2.15241990076196E-2</v>
      </c>
      <c r="F119">
        <v>68.045485999999997</v>
      </c>
      <c r="G119">
        <v>71.702654999999993</v>
      </c>
      <c r="H119">
        <v>5.78</v>
      </c>
      <c r="I119">
        <v>5.0999999999999996</v>
      </c>
      <c r="J119">
        <v>7.74</v>
      </c>
      <c r="K119">
        <v>4.21</v>
      </c>
      <c r="L119">
        <v>3.91</v>
      </c>
      <c r="M119">
        <v>3.6</v>
      </c>
      <c r="O119">
        <v>3.4</v>
      </c>
      <c r="Q119">
        <v>12.631399999999999</v>
      </c>
      <c r="R119">
        <v>216.995</v>
      </c>
      <c r="S119">
        <v>2.5361857774085359</v>
      </c>
      <c r="T119">
        <f t="shared" si="3"/>
        <v>17.121760958319186</v>
      </c>
      <c r="U119">
        <v>4.220176393319055</v>
      </c>
      <c r="V119">
        <v>5.3798743118003456</v>
      </c>
      <c r="W119">
        <v>3.6958836958898269</v>
      </c>
      <c r="X119">
        <v>0</v>
      </c>
      <c r="Y119">
        <v>-2.0999999046325684</v>
      </c>
      <c r="Z119">
        <v>94.721900000000005</v>
      </c>
      <c r="AA119">
        <v>3.7310578899565026</v>
      </c>
      <c r="AB119">
        <v>0.97</v>
      </c>
      <c r="AC119">
        <v>1.83924343</v>
      </c>
      <c r="AE119">
        <v>0</v>
      </c>
      <c r="AF119">
        <v>0.5</v>
      </c>
      <c r="AG119">
        <v>0.40544100088428664</v>
      </c>
    </row>
    <row r="120" spans="1:33" x14ac:dyDescent="0.25">
      <c r="A120" s="1">
        <v>39753</v>
      </c>
      <c r="B120">
        <v>82.638099999999994</v>
      </c>
      <c r="C120">
        <f t="shared" si="2"/>
        <v>-1.1351000000000084</v>
      </c>
      <c r="D120">
        <v>0.5</v>
      </c>
      <c r="E120">
        <v>8.5905087496600495E-3</v>
      </c>
      <c r="F120">
        <v>68.818942000000007</v>
      </c>
      <c r="G120">
        <v>72.029105000000001</v>
      </c>
      <c r="H120">
        <v>6.23</v>
      </c>
      <c r="I120">
        <v>5.34</v>
      </c>
      <c r="J120">
        <v>7.43</v>
      </c>
      <c r="K120">
        <v>4.17</v>
      </c>
      <c r="L120">
        <v>3.98</v>
      </c>
      <c r="M120">
        <v>3.75</v>
      </c>
      <c r="O120">
        <v>3.46</v>
      </c>
      <c r="Q120">
        <v>13.114000000000001</v>
      </c>
      <c r="R120">
        <v>213.15299999999999</v>
      </c>
      <c r="S120">
        <v>2.5736803618414279</v>
      </c>
      <c r="T120">
        <f t="shared" si="3"/>
        <v>3.7494584432891997</v>
      </c>
      <c r="U120">
        <v>4.2314790268132079</v>
      </c>
      <c r="V120">
        <v>5.3620102177075282</v>
      </c>
      <c r="W120">
        <v>3.7042115527357482</v>
      </c>
      <c r="X120">
        <v>0</v>
      </c>
      <c r="Y120">
        <v>0</v>
      </c>
      <c r="Z120">
        <v>93.471500000000006</v>
      </c>
      <c r="AA120">
        <v>1.0999174706166883</v>
      </c>
      <c r="AB120">
        <v>0.39</v>
      </c>
      <c r="AC120">
        <v>1.41995424</v>
      </c>
      <c r="AE120">
        <v>0</v>
      </c>
      <c r="AF120">
        <v>0.5</v>
      </c>
      <c r="AG120">
        <v>0.33282851907022876</v>
      </c>
    </row>
    <row r="121" spans="1:33" x14ac:dyDescent="0.25">
      <c r="A121" s="1">
        <v>39783</v>
      </c>
      <c r="B121">
        <v>81.711399999999998</v>
      </c>
      <c r="C121">
        <f t="shared" si="2"/>
        <v>-0.92669999999999675</v>
      </c>
      <c r="D121">
        <v>0</v>
      </c>
      <c r="E121">
        <v>-2.0338878351911002E-3</v>
      </c>
      <c r="F121">
        <v>69.295552000000001</v>
      </c>
      <c r="G121">
        <v>72.440646999999998</v>
      </c>
      <c r="H121">
        <v>6.53</v>
      </c>
      <c r="I121">
        <v>5.54</v>
      </c>
      <c r="J121">
        <v>8.02</v>
      </c>
      <c r="K121">
        <v>4.21</v>
      </c>
      <c r="L121">
        <v>4.22</v>
      </c>
      <c r="M121">
        <v>3.7</v>
      </c>
      <c r="O121">
        <v>3.41</v>
      </c>
      <c r="Q121">
        <v>13.422599999999999</v>
      </c>
      <c r="R121">
        <v>211.398</v>
      </c>
      <c r="S121">
        <v>2.5969398534637769</v>
      </c>
      <c r="T121">
        <f t="shared" si="3"/>
        <v>2.3259491622348971</v>
      </c>
      <c r="U121">
        <v>4.2383807194317464</v>
      </c>
      <c r="V121">
        <v>5.3537426126534466</v>
      </c>
      <c r="W121">
        <v>3.7123017466854771</v>
      </c>
      <c r="X121">
        <v>0</v>
      </c>
      <c r="Y121">
        <v>0</v>
      </c>
      <c r="Z121">
        <v>90.835700000000003</v>
      </c>
      <c r="AA121">
        <v>-2.2228002553854216E-2</v>
      </c>
      <c r="AB121">
        <v>0.16</v>
      </c>
      <c r="AC121">
        <v>0.64973096419999998</v>
      </c>
      <c r="AE121">
        <v>0</v>
      </c>
      <c r="AF121">
        <v>0</v>
      </c>
      <c r="AG121">
        <v>0</v>
      </c>
    </row>
    <row r="122" spans="1:33" x14ac:dyDescent="0.25">
      <c r="A122" s="1">
        <v>39814</v>
      </c>
      <c r="B122">
        <v>78.155699999999996</v>
      </c>
      <c r="C122">
        <f t="shared" si="2"/>
        <v>-3.5557000000000016</v>
      </c>
      <c r="D122">
        <v>-1.75</v>
      </c>
      <c r="E122">
        <v>-4.5951818536934801E-2</v>
      </c>
      <c r="F122">
        <v>69.456148999999996</v>
      </c>
      <c r="G122">
        <v>72.758819000000003</v>
      </c>
      <c r="H122">
        <v>6.28</v>
      </c>
      <c r="I122">
        <v>5.54</v>
      </c>
      <c r="J122">
        <v>7.59</v>
      </c>
      <c r="K122">
        <v>4</v>
      </c>
      <c r="L122">
        <v>4</v>
      </c>
      <c r="M122">
        <v>3.5</v>
      </c>
      <c r="O122">
        <v>3.37</v>
      </c>
      <c r="Q122">
        <v>13.892099999999999</v>
      </c>
      <c r="R122">
        <v>211.93299999999999</v>
      </c>
      <c r="S122">
        <v>2.63132033324348</v>
      </c>
      <c r="T122">
        <f t="shared" si="3"/>
        <v>3.4380479779703155</v>
      </c>
      <c r="U122">
        <v>4.2406956037979686</v>
      </c>
      <c r="V122">
        <v>5.3562701869857134</v>
      </c>
      <c r="W122">
        <v>3.7468949164312249</v>
      </c>
      <c r="X122">
        <v>0</v>
      </c>
      <c r="Y122">
        <v>0.60000002384185791</v>
      </c>
      <c r="Z122">
        <v>88.57</v>
      </c>
      <c r="AA122">
        <v>-0.11358601902212988</v>
      </c>
      <c r="AB122">
        <v>0.15</v>
      </c>
      <c r="AC122">
        <v>0.61117909930000003</v>
      </c>
      <c r="AE122">
        <v>0</v>
      </c>
      <c r="AF122">
        <v>-1.75</v>
      </c>
      <c r="AG122">
        <v>-1.1921603424873728</v>
      </c>
    </row>
    <row r="123" spans="1:33" x14ac:dyDescent="0.25">
      <c r="A123" s="1">
        <v>39845</v>
      </c>
      <c r="B123">
        <v>77.853399999999993</v>
      </c>
      <c r="C123">
        <f t="shared" si="2"/>
        <v>-0.30230000000000246</v>
      </c>
      <c r="D123">
        <v>0</v>
      </c>
      <c r="E123">
        <v>-4.9359385993269299E-2</v>
      </c>
      <c r="F123">
        <v>69.609493999999998</v>
      </c>
      <c r="G123">
        <v>73.097273999999999</v>
      </c>
      <c r="H123">
        <v>6.2</v>
      </c>
      <c r="I123">
        <v>5.58</v>
      </c>
      <c r="J123">
        <v>7.12</v>
      </c>
      <c r="K123">
        <v>4.1100000000000003</v>
      </c>
      <c r="L123">
        <v>3.94</v>
      </c>
      <c r="M123">
        <v>3.46</v>
      </c>
      <c r="O123">
        <v>3.33</v>
      </c>
      <c r="Q123">
        <v>14.5966</v>
      </c>
      <c r="R123">
        <v>212.70500000000001</v>
      </c>
      <c r="S123">
        <v>2.6807886248819699</v>
      </c>
      <c r="T123">
        <f t="shared" si="3"/>
        <v>4.946829163848987</v>
      </c>
      <c r="U123">
        <v>4.242900966083619</v>
      </c>
      <c r="V123">
        <v>5.3599062292171586</v>
      </c>
      <c r="W123">
        <v>3.79779388801551</v>
      </c>
      <c r="X123">
        <v>7.8947368421053099E-2</v>
      </c>
      <c r="Y123">
        <v>52.599998474121094</v>
      </c>
      <c r="Z123">
        <v>88.031000000000006</v>
      </c>
      <c r="AA123">
        <v>8.4631406715035152E-3</v>
      </c>
      <c r="AB123">
        <v>0.22</v>
      </c>
      <c r="AC123">
        <v>0.87610251510000003</v>
      </c>
      <c r="AE123">
        <v>0</v>
      </c>
      <c r="AF123" s="5">
        <v>0</v>
      </c>
      <c r="AG123">
        <v>0</v>
      </c>
    </row>
    <row r="124" spans="1:33" x14ac:dyDescent="0.25">
      <c r="A124" s="1">
        <v>39873</v>
      </c>
      <c r="B124">
        <v>77.6631</v>
      </c>
      <c r="C124">
        <f t="shared" si="2"/>
        <v>-0.19029999999999347</v>
      </c>
      <c r="D124">
        <v>0</v>
      </c>
      <c r="E124">
        <v>-5.14648744732744E-2</v>
      </c>
      <c r="F124">
        <v>70.009950000000003</v>
      </c>
      <c r="G124">
        <v>73.473849000000001</v>
      </c>
      <c r="H124">
        <v>6.04</v>
      </c>
      <c r="I124">
        <v>5.61</v>
      </c>
      <c r="J124">
        <v>7.03</v>
      </c>
      <c r="K124">
        <v>4.16</v>
      </c>
      <c r="L124">
        <v>4.08</v>
      </c>
      <c r="M124">
        <v>3.5</v>
      </c>
      <c r="O124">
        <v>3.4</v>
      </c>
      <c r="Q124">
        <v>14.669499999999999</v>
      </c>
      <c r="R124">
        <v>212.495</v>
      </c>
      <c r="S124">
        <v>2.685770508411129</v>
      </c>
      <c r="T124">
        <f t="shared" si="3"/>
        <v>0.49818835291590702</v>
      </c>
      <c r="U124">
        <v>4.2486373748051633</v>
      </c>
      <c r="V124">
        <v>5.3589184586758858</v>
      </c>
      <c r="W124">
        <v>3.796051592281851</v>
      </c>
      <c r="X124">
        <v>-3.5714285714285587E-2</v>
      </c>
      <c r="Y124">
        <v>-57.5</v>
      </c>
      <c r="Z124">
        <v>86.652799999999999</v>
      </c>
      <c r="AA124">
        <v>-0.44647876766238287</v>
      </c>
      <c r="AB124">
        <v>0.18</v>
      </c>
      <c r="AC124">
        <v>0.75024519970000003</v>
      </c>
      <c r="AE124">
        <v>0</v>
      </c>
      <c r="AF124" s="5">
        <v>0</v>
      </c>
      <c r="AG124">
        <v>0</v>
      </c>
    </row>
    <row r="125" spans="1:33" x14ac:dyDescent="0.25">
      <c r="A125" s="1">
        <v>39904</v>
      </c>
      <c r="B125">
        <v>76.9876</v>
      </c>
      <c r="C125">
        <f t="shared" si="2"/>
        <v>-0.67549999999999955</v>
      </c>
      <c r="D125">
        <v>-1.25</v>
      </c>
      <c r="E125">
        <v>-6.00027450809364E-2</v>
      </c>
      <c r="F125">
        <v>70.254990000000006</v>
      </c>
      <c r="G125">
        <v>73.784801000000002</v>
      </c>
      <c r="H125">
        <v>6.17</v>
      </c>
      <c r="I125">
        <v>5.64</v>
      </c>
      <c r="J125">
        <v>6.05</v>
      </c>
      <c r="K125">
        <v>4.0599999999999996</v>
      </c>
      <c r="L125">
        <v>4.24</v>
      </c>
      <c r="M125">
        <v>3.51</v>
      </c>
      <c r="O125">
        <v>3.35</v>
      </c>
      <c r="Q125">
        <v>13.4367</v>
      </c>
      <c r="R125">
        <v>212.709</v>
      </c>
      <c r="S125">
        <v>2.597989769231889</v>
      </c>
      <c r="T125">
        <f t="shared" si="3"/>
        <v>-8.7780739179240008</v>
      </c>
      <c r="U125">
        <v>4.2521313377196703</v>
      </c>
      <c r="V125">
        <v>5.3599250344280831</v>
      </c>
      <c r="W125">
        <v>3.7057834659403022</v>
      </c>
      <c r="X125">
        <v>-0.375</v>
      </c>
      <c r="Y125">
        <v>-13.300000190734863</v>
      </c>
      <c r="Z125">
        <v>85.934399999999997</v>
      </c>
      <c r="AA125">
        <v>-0.57632442437670206</v>
      </c>
      <c r="AB125">
        <v>0.15</v>
      </c>
      <c r="AC125">
        <v>0.42662850050000001</v>
      </c>
      <c r="AE125">
        <v>-0.375</v>
      </c>
      <c r="AF125">
        <v>-1.25</v>
      </c>
      <c r="AG125">
        <v>-0.76409005934616692</v>
      </c>
    </row>
    <row r="126" spans="1:33" x14ac:dyDescent="0.25">
      <c r="A126" s="1">
        <v>39934</v>
      </c>
      <c r="B126">
        <v>76.627600000000001</v>
      </c>
      <c r="C126">
        <f t="shared" si="2"/>
        <v>-0.35999999999999943</v>
      </c>
      <c r="D126">
        <v>0</v>
      </c>
      <c r="E126">
        <v>-6.4649886288856706E-2</v>
      </c>
      <c r="F126">
        <v>70.050358000000003</v>
      </c>
      <c r="G126">
        <v>73.931562</v>
      </c>
      <c r="H126">
        <v>5.98</v>
      </c>
      <c r="I126">
        <v>5.35</v>
      </c>
      <c r="J126">
        <v>5.29</v>
      </c>
      <c r="K126">
        <v>4.04</v>
      </c>
      <c r="L126">
        <v>3.88</v>
      </c>
      <c r="M126">
        <v>3.5</v>
      </c>
      <c r="O126">
        <v>3.4</v>
      </c>
      <c r="Q126">
        <v>13.162100000000001</v>
      </c>
      <c r="R126">
        <v>213.02199999999999</v>
      </c>
      <c r="S126">
        <v>2.5773414876346048</v>
      </c>
      <c r="T126">
        <f t="shared" si="3"/>
        <v>-2.0648281597284157</v>
      </c>
      <c r="U126">
        <v>4.2492143834052172</v>
      </c>
      <c r="V126">
        <v>5.3613954467607314</v>
      </c>
      <c r="W126">
        <v>3.6895225509901191</v>
      </c>
      <c r="X126">
        <v>-0.11249999999999982</v>
      </c>
      <c r="Y126">
        <v>7</v>
      </c>
      <c r="Z126">
        <v>85.066500000000005</v>
      </c>
      <c r="AA126">
        <v>-1.0157614958551759</v>
      </c>
      <c r="AB126">
        <v>0.18</v>
      </c>
      <c r="AC126">
        <v>0.2066390562</v>
      </c>
      <c r="AE126">
        <v>0</v>
      </c>
      <c r="AF126" s="5">
        <v>0</v>
      </c>
      <c r="AG126">
        <v>0</v>
      </c>
    </row>
    <row r="127" spans="1:33" x14ac:dyDescent="0.25">
      <c r="A127" s="1">
        <v>39965</v>
      </c>
      <c r="B127">
        <v>77.842799999999997</v>
      </c>
      <c r="C127">
        <f t="shared" si="2"/>
        <v>1.2151999999999958</v>
      </c>
      <c r="D127">
        <v>0</v>
      </c>
      <c r="E127">
        <v>-4.9044085699928401E-2</v>
      </c>
      <c r="F127">
        <v>70.179354000000004</v>
      </c>
      <c r="G127">
        <v>74.117894000000007</v>
      </c>
      <c r="H127">
        <v>5.74</v>
      </c>
      <c r="I127">
        <v>5.12</v>
      </c>
      <c r="J127">
        <v>4.9800000000000004</v>
      </c>
      <c r="K127">
        <v>3.85</v>
      </c>
      <c r="L127">
        <v>3.82</v>
      </c>
      <c r="M127">
        <v>3.56</v>
      </c>
      <c r="O127">
        <v>3.45</v>
      </c>
      <c r="Q127">
        <v>13.341799999999999</v>
      </c>
      <c r="R127">
        <v>214.79</v>
      </c>
      <c r="S127">
        <v>2.5909019639186348</v>
      </c>
      <c r="T127">
        <f t="shared" si="3"/>
        <v>1.356047628403001</v>
      </c>
      <c r="U127">
        <v>4.2510541652110234</v>
      </c>
      <c r="V127">
        <v>5.3696608066161717</v>
      </c>
      <c r="W127">
        <v>3.709508605323784</v>
      </c>
      <c r="X127">
        <v>0</v>
      </c>
      <c r="Y127">
        <v>1.5</v>
      </c>
      <c r="Z127">
        <v>84.745900000000006</v>
      </c>
      <c r="AA127">
        <v>-1.2291746182109149</v>
      </c>
      <c r="AB127">
        <v>0.21</v>
      </c>
      <c r="AC127">
        <v>2.1533682169999999E-2</v>
      </c>
      <c r="AE127">
        <v>0</v>
      </c>
      <c r="AF127">
        <v>-0.5</v>
      </c>
      <c r="AG127">
        <v>-0.29411377868707339</v>
      </c>
    </row>
    <row r="128" spans="1:33" x14ac:dyDescent="0.25">
      <c r="A128" s="1">
        <v>39995</v>
      </c>
      <c r="B128">
        <v>79.232200000000006</v>
      </c>
      <c r="C128">
        <f t="shared" si="2"/>
        <v>1.3894000000000091</v>
      </c>
      <c r="D128">
        <v>0</v>
      </c>
      <c r="E128">
        <v>-3.1654780915664198E-2</v>
      </c>
      <c r="F128">
        <v>70.370515999999995</v>
      </c>
      <c r="G128">
        <v>74.344849999999994</v>
      </c>
      <c r="H128">
        <v>5.44</v>
      </c>
      <c r="I128">
        <v>5.0199999999999996</v>
      </c>
      <c r="J128">
        <v>4.59</v>
      </c>
      <c r="K128">
        <v>4</v>
      </c>
      <c r="L128">
        <v>4</v>
      </c>
      <c r="M128">
        <v>3.6</v>
      </c>
      <c r="O128">
        <v>3.5</v>
      </c>
      <c r="Q128">
        <v>13.365399999999999</v>
      </c>
      <c r="R128">
        <v>214.726</v>
      </c>
      <c r="S128">
        <v>2.5926692780618392</v>
      </c>
      <c r="T128">
        <f t="shared" si="3"/>
        <v>0.17673141432044126</v>
      </c>
      <c r="U128">
        <v>4.2537743686217464</v>
      </c>
      <c r="V128">
        <v>5.369362796761016</v>
      </c>
      <c r="W128">
        <v>3.7082577062011088</v>
      </c>
      <c r="X128">
        <v>0</v>
      </c>
      <c r="Y128">
        <v>5</v>
      </c>
      <c r="Z128">
        <v>85.702699999999993</v>
      </c>
      <c r="AA128">
        <v>-1.9587610037622785</v>
      </c>
      <c r="AB128">
        <v>0.16</v>
      </c>
      <c r="AC128">
        <v>-0.1173775772</v>
      </c>
      <c r="AE128">
        <v>0</v>
      </c>
      <c r="AF128">
        <v>0</v>
      </c>
      <c r="AG128">
        <v>-6.0604550832258353E-3</v>
      </c>
    </row>
    <row r="129" spans="1:33" x14ac:dyDescent="0.25">
      <c r="A129" s="1">
        <v>40026</v>
      </c>
      <c r="B129">
        <v>79.076400000000007</v>
      </c>
      <c r="C129">
        <f t="shared" si="2"/>
        <v>-0.15579999999999927</v>
      </c>
      <c r="D129">
        <v>0</v>
      </c>
      <c r="E129">
        <v>-3.4101137372136499E-2</v>
      </c>
      <c r="F129">
        <v>70.538883999999996</v>
      </c>
      <c r="G129">
        <v>74.459213000000005</v>
      </c>
      <c r="H129">
        <v>5.08</v>
      </c>
      <c r="I129">
        <v>4.75</v>
      </c>
      <c r="J129">
        <v>4.49</v>
      </c>
      <c r="K129">
        <v>4.0999999999999996</v>
      </c>
      <c r="L129">
        <v>3.8</v>
      </c>
      <c r="M129">
        <v>3.6</v>
      </c>
      <c r="O129">
        <v>3.5</v>
      </c>
      <c r="Q129">
        <v>13.007999999999999</v>
      </c>
      <c r="R129">
        <v>215.44499999999999</v>
      </c>
      <c r="S129">
        <v>2.5655645528054549</v>
      </c>
      <c r="T129">
        <f t="shared" si="3"/>
        <v>-2.7104725256384299</v>
      </c>
      <c r="U129">
        <v>4.2561641038718676</v>
      </c>
      <c r="V129">
        <v>5.3727056565518954</v>
      </c>
      <c r="W129">
        <v>3.6821061054854818</v>
      </c>
      <c r="X129">
        <v>0</v>
      </c>
      <c r="Y129">
        <v>1.5</v>
      </c>
      <c r="Z129">
        <v>86.642600000000002</v>
      </c>
      <c r="AA129">
        <v>-1.4838355663267659</v>
      </c>
      <c r="AB129">
        <v>0.16</v>
      </c>
      <c r="AC129">
        <v>-0.2827426905</v>
      </c>
      <c r="AE129">
        <v>0</v>
      </c>
      <c r="AF129">
        <v>0</v>
      </c>
      <c r="AG129">
        <v>-6.0604550832258353E-3</v>
      </c>
    </row>
    <row r="130" spans="1:33" x14ac:dyDescent="0.25">
      <c r="A130" s="1">
        <v>40057</v>
      </c>
      <c r="B130">
        <v>79.673100000000005</v>
      </c>
      <c r="C130">
        <f t="shared" si="2"/>
        <v>0.59669999999999845</v>
      </c>
      <c r="D130">
        <v>0</v>
      </c>
      <c r="E130">
        <v>-2.7237621639405199E-2</v>
      </c>
      <c r="F130">
        <v>70.892715999999993</v>
      </c>
      <c r="G130">
        <v>74.753596000000002</v>
      </c>
      <c r="H130">
        <v>4.8899999999999997</v>
      </c>
      <c r="I130">
        <v>4.55</v>
      </c>
      <c r="J130">
        <v>4.4800000000000004</v>
      </c>
      <c r="K130">
        <v>4.4000000000000004</v>
      </c>
      <c r="L130">
        <v>4.2</v>
      </c>
      <c r="M130">
        <v>3.75</v>
      </c>
      <c r="O130">
        <v>3.5</v>
      </c>
      <c r="Q130">
        <v>13.421200000000001</v>
      </c>
      <c r="R130">
        <v>215.86099999999999</v>
      </c>
      <c r="S130">
        <v>2.596835546323859</v>
      </c>
      <c r="T130">
        <f t="shared" si="3"/>
        <v>3.1270993518404122</v>
      </c>
      <c r="U130">
        <v>4.2611676920121146</v>
      </c>
      <c r="V130">
        <v>5.3746346820187316</v>
      </c>
      <c r="W130">
        <v>3.710302536330476</v>
      </c>
      <c r="X130">
        <v>0</v>
      </c>
      <c r="Y130">
        <v>9</v>
      </c>
      <c r="Z130">
        <v>87.406300000000002</v>
      </c>
      <c r="AA130">
        <v>-1.3779428628864701</v>
      </c>
      <c r="AB130">
        <v>0.15</v>
      </c>
      <c r="AC130">
        <v>-0.40604610860000001</v>
      </c>
      <c r="AE130">
        <v>0</v>
      </c>
      <c r="AF130">
        <v>0</v>
      </c>
      <c r="AG130">
        <v>-6.0604550832258353E-3</v>
      </c>
    </row>
    <row r="131" spans="1:33" x14ac:dyDescent="0.25">
      <c r="A131" s="1">
        <v>40087</v>
      </c>
      <c r="B131">
        <v>80.288600000000002</v>
      </c>
      <c r="C131">
        <f t="shared" si="2"/>
        <v>0.61549999999999727</v>
      </c>
      <c r="D131">
        <v>0</v>
      </c>
      <c r="E131">
        <v>-2.0369617942514601E-2</v>
      </c>
      <c r="F131">
        <v>71.107191</v>
      </c>
      <c r="G131">
        <v>74.995048999999995</v>
      </c>
      <c r="H131">
        <v>4.5</v>
      </c>
      <c r="I131">
        <v>4.59</v>
      </c>
      <c r="J131">
        <v>4.51</v>
      </c>
      <c r="K131">
        <v>4.5999999999999996</v>
      </c>
      <c r="L131">
        <v>4.4000000000000004</v>
      </c>
      <c r="M131">
        <v>3.8</v>
      </c>
      <c r="O131">
        <v>3.5</v>
      </c>
      <c r="Q131">
        <v>13.2257</v>
      </c>
      <c r="R131">
        <v>216.50899999999999</v>
      </c>
      <c r="S131">
        <v>2.5821619064003278</v>
      </c>
      <c r="T131">
        <f t="shared" si="3"/>
        <v>-1.4673639923531212</v>
      </c>
      <c r="U131">
        <v>4.2641884709354736</v>
      </c>
      <c r="V131">
        <v>5.3776321170173169</v>
      </c>
      <c r="W131">
        <v>3.695605552482172</v>
      </c>
      <c r="X131">
        <v>0</v>
      </c>
      <c r="Y131">
        <v>-1</v>
      </c>
      <c r="Z131">
        <v>87.641900000000007</v>
      </c>
      <c r="AA131">
        <v>-0.22396829420033565</v>
      </c>
      <c r="AB131">
        <v>0.12</v>
      </c>
      <c r="AC131">
        <v>-0.4746296143</v>
      </c>
      <c r="AE131">
        <v>0</v>
      </c>
      <c r="AF131">
        <v>0</v>
      </c>
      <c r="AG131">
        <v>-6.0604550832258353E-3</v>
      </c>
    </row>
    <row r="132" spans="1:33" x14ac:dyDescent="0.25">
      <c r="A132" s="1">
        <v>40118</v>
      </c>
      <c r="B132">
        <v>81.087299999999999</v>
      </c>
      <c r="C132">
        <f t="shared" ref="C132:C195" si="4">B132-B131</f>
        <v>0.79869999999999663</v>
      </c>
      <c r="D132">
        <v>0</v>
      </c>
      <c r="E132">
        <v>-1.1467874236657001E-2</v>
      </c>
      <c r="F132">
        <v>71.476045999999997</v>
      </c>
      <c r="G132">
        <v>75.102902</v>
      </c>
      <c r="H132">
        <v>3.86</v>
      </c>
      <c r="I132">
        <v>4.2699999999999996</v>
      </c>
      <c r="J132">
        <v>4.51</v>
      </c>
      <c r="K132">
        <v>5</v>
      </c>
      <c r="L132">
        <v>4.5</v>
      </c>
      <c r="M132">
        <v>3.95</v>
      </c>
      <c r="O132">
        <v>3.5</v>
      </c>
      <c r="Q132">
        <v>13.109400000000001</v>
      </c>
      <c r="R132">
        <v>217.23400000000001</v>
      </c>
      <c r="S132">
        <v>2.5733295301378969</v>
      </c>
      <c r="T132">
        <f t="shared" ref="T132:T195" si="5">(S132-S131)*100</f>
        <v>-0.8832376262430941</v>
      </c>
      <c r="U132">
        <v>4.2693623725888754</v>
      </c>
      <c r="V132">
        <v>5.3809751135622479</v>
      </c>
      <c r="W132">
        <v>3.6849422711112698</v>
      </c>
      <c r="X132">
        <v>0</v>
      </c>
      <c r="Y132">
        <v>1.8999999761581421</v>
      </c>
      <c r="Z132">
        <v>88.022099999999995</v>
      </c>
      <c r="AA132">
        <v>1.9145871744709282</v>
      </c>
      <c r="AB132">
        <v>0.12</v>
      </c>
      <c r="AC132">
        <v>-0.61039679960000004</v>
      </c>
      <c r="AE132">
        <v>0</v>
      </c>
      <c r="AF132">
        <v>0</v>
      </c>
      <c r="AG132">
        <v>-6.0604550832258353E-3</v>
      </c>
    </row>
    <row r="133" spans="1:33" x14ac:dyDescent="0.25">
      <c r="A133" s="1">
        <v>40148</v>
      </c>
      <c r="B133">
        <v>81.554599999999994</v>
      </c>
      <c r="C133">
        <f t="shared" si="4"/>
        <v>0.4672999999999945</v>
      </c>
      <c r="D133">
        <v>0</v>
      </c>
      <c r="E133">
        <v>-6.8821168918544702E-3</v>
      </c>
      <c r="F133">
        <v>71.771855000000002</v>
      </c>
      <c r="G133">
        <v>75.452250000000006</v>
      </c>
      <c r="H133">
        <v>3.57</v>
      </c>
      <c r="I133">
        <v>4.16</v>
      </c>
      <c r="J133">
        <v>4.5</v>
      </c>
      <c r="K133">
        <v>5.0999999999999996</v>
      </c>
      <c r="L133">
        <v>4.5999999999999996</v>
      </c>
      <c r="M133">
        <f>AVERAGE(M132,M134)</f>
        <v>3.7750000000000004</v>
      </c>
      <c r="O133">
        <v>3.4</v>
      </c>
      <c r="Q133">
        <v>12.863099999999999</v>
      </c>
      <c r="R133">
        <v>217.34700000000001</v>
      </c>
      <c r="S133">
        <v>2.554362747302541</v>
      </c>
      <c r="T133">
        <f t="shared" si="5"/>
        <v>-1.8966782835355911</v>
      </c>
      <c r="U133">
        <v>4.2734924075619167</v>
      </c>
      <c r="V133">
        <v>5.3814951547170464</v>
      </c>
      <c r="W133">
        <v>3.6623654944576698</v>
      </c>
      <c r="X133">
        <v>0</v>
      </c>
      <c r="Y133">
        <v>0</v>
      </c>
      <c r="Z133">
        <v>88.379300000000001</v>
      </c>
      <c r="AA133">
        <v>2.8141231232083617</v>
      </c>
      <c r="AB133">
        <v>0.12</v>
      </c>
      <c r="AC133">
        <v>-0.15397759059999999</v>
      </c>
      <c r="AE133">
        <v>0</v>
      </c>
      <c r="AF133">
        <v>0</v>
      </c>
      <c r="AG133">
        <v>0</v>
      </c>
    </row>
    <row r="134" spans="1:33" x14ac:dyDescent="0.25">
      <c r="A134" s="1">
        <v>40179</v>
      </c>
      <c r="B134">
        <v>80.852999999999994</v>
      </c>
      <c r="C134">
        <f t="shared" si="4"/>
        <v>-0.70159999999999911</v>
      </c>
      <c r="D134">
        <v>0</v>
      </c>
      <c r="E134">
        <v>-1.6839970647759599E-2</v>
      </c>
      <c r="F134">
        <v>72.552046000000004</v>
      </c>
      <c r="G134">
        <v>76.019221999999999</v>
      </c>
      <c r="H134">
        <v>4.46</v>
      </c>
      <c r="I134">
        <v>4.4800000000000004</v>
      </c>
      <c r="J134">
        <v>4.49</v>
      </c>
      <c r="K134">
        <v>4.5</v>
      </c>
      <c r="L134">
        <v>4.3</v>
      </c>
      <c r="M134">
        <v>3.6</v>
      </c>
      <c r="O134">
        <v>3.4</v>
      </c>
      <c r="Q134">
        <v>12.8019</v>
      </c>
      <c r="R134">
        <v>217.488</v>
      </c>
      <c r="S134">
        <v>2.5495935974098161</v>
      </c>
      <c r="T134">
        <f t="shared" si="5"/>
        <v>-0.47691498927249221</v>
      </c>
      <c r="U134">
        <v>4.2843041801730726</v>
      </c>
      <c r="V134">
        <v>5.3821436765928921</v>
      </c>
      <c r="W134">
        <v>3.6474330938296351</v>
      </c>
      <c r="X134">
        <v>0</v>
      </c>
      <c r="Y134">
        <v>2</v>
      </c>
      <c r="Z134">
        <v>89.342600000000004</v>
      </c>
      <c r="AA134">
        <v>2.6211113889767081</v>
      </c>
      <c r="AB134">
        <v>0.11</v>
      </c>
      <c r="AC134">
        <v>-0.44770033980000001</v>
      </c>
      <c r="AE134">
        <v>0</v>
      </c>
      <c r="AF134">
        <v>0</v>
      </c>
      <c r="AG134">
        <v>-6.0604550832258353E-3</v>
      </c>
    </row>
    <row r="135" spans="1:33" x14ac:dyDescent="0.25">
      <c r="A135" s="1">
        <v>40210</v>
      </c>
      <c r="B135">
        <v>81.513599999999997</v>
      </c>
      <c r="C135">
        <f t="shared" si="4"/>
        <v>0.6606000000000023</v>
      </c>
      <c r="D135">
        <v>0</v>
      </c>
      <c r="E135">
        <v>-1.0170826648191199E-2</v>
      </c>
      <c r="F135">
        <v>72.971671000000001</v>
      </c>
      <c r="G135">
        <v>76.333280000000002</v>
      </c>
      <c r="H135">
        <v>4.83</v>
      </c>
      <c r="I135">
        <v>4.43</v>
      </c>
      <c r="J135">
        <v>4.49</v>
      </c>
      <c r="K135">
        <v>4.3499999999999996</v>
      </c>
      <c r="L135">
        <v>4.3</v>
      </c>
      <c r="M135">
        <v>3.6</v>
      </c>
      <c r="O135">
        <v>3.4</v>
      </c>
      <c r="Q135">
        <v>12.942399999999999</v>
      </c>
      <c r="R135">
        <v>217.28100000000001</v>
      </c>
      <c r="S135">
        <v>2.560508743281551</v>
      </c>
      <c r="T135">
        <f t="shared" si="5"/>
        <v>1.0915145871734921</v>
      </c>
      <c r="U135">
        <v>4.2900712973371764</v>
      </c>
      <c r="V135">
        <v>5.381191446716147</v>
      </c>
      <c r="W135">
        <v>3.651628892660522</v>
      </c>
      <c r="X135">
        <v>0</v>
      </c>
      <c r="Y135">
        <v>3</v>
      </c>
      <c r="Z135">
        <v>89.677899999999994</v>
      </c>
      <c r="AA135">
        <v>2.1513363578665254</v>
      </c>
      <c r="AB135">
        <v>0.13</v>
      </c>
      <c r="AC135">
        <v>-0.54468785239999995</v>
      </c>
      <c r="AE135">
        <v>0</v>
      </c>
      <c r="AF135">
        <v>0</v>
      </c>
      <c r="AG135">
        <v>-6.0604550832258353E-3</v>
      </c>
    </row>
    <row r="136" spans="1:33" x14ac:dyDescent="0.25">
      <c r="A136" s="1">
        <v>40238</v>
      </c>
      <c r="B136">
        <v>82.070599999999999</v>
      </c>
      <c r="C136">
        <f t="shared" si="4"/>
        <v>0.55700000000000216</v>
      </c>
      <c r="D136">
        <v>0</v>
      </c>
      <c r="E136">
        <v>-4.9710038837691402E-3</v>
      </c>
      <c r="F136">
        <v>73.489725000000007</v>
      </c>
      <c r="G136">
        <v>76.601139000000003</v>
      </c>
      <c r="H136">
        <v>4.97</v>
      </c>
      <c r="I136">
        <v>4.26</v>
      </c>
      <c r="J136">
        <v>4.45</v>
      </c>
      <c r="K136">
        <v>4.0999999999999996</v>
      </c>
      <c r="L136">
        <v>4.2</v>
      </c>
      <c r="M136">
        <v>3.6</v>
      </c>
      <c r="O136">
        <v>3.4</v>
      </c>
      <c r="Q136">
        <v>12.573700000000001</v>
      </c>
      <c r="R136">
        <v>217.35300000000001</v>
      </c>
      <c r="S136">
        <v>2.5316073309200808</v>
      </c>
      <c r="T136">
        <f t="shared" si="5"/>
        <v>-2.8901412361470147</v>
      </c>
      <c r="U136">
        <v>4.2971456005280633</v>
      </c>
      <c r="V136">
        <v>5.3815227599620439</v>
      </c>
      <c r="W136">
        <v>3.6159844903540619</v>
      </c>
      <c r="X136">
        <v>0</v>
      </c>
      <c r="Y136">
        <v>1</v>
      </c>
      <c r="Z136">
        <v>90.2928</v>
      </c>
      <c r="AA136">
        <v>2.2861714393279864</v>
      </c>
      <c r="AB136">
        <v>0.16</v>
      </c>
      <c r="AC136">
        <v>-0.47634944350000002</v>
      </c>
      <c r="AE136">
        <v>0</v>
      </c>
      <c r="AF136">
        <v>0</v>
      </c>
      <c r="AG136">
        <v>-6.0604550832258353E-3</v>
      </c>
    </row>
    <row r="137" spans="1:33" x14ac:dyDescent="0.25">
      <c r="A137" s="1">
        <v>40269</v>
      </c>
      <c r="B137">
        <v>83.017899999999997</v>
      </c>
      <c r="C137">
        <f t="shared" si="4"/>
        <v>0.94729999999999848</v>
      </c>
      <c r="D137">
        <v>0</v>
      </c>
      <c r="E137">
        <v>4.7619575592614503E-3</v>
      </c>
      <c r="F137">
        <v>73.255565000000004</v>
      </c>
      <c r="G137">
        <v>76.683689000000001</v>
      </c>
      <c r="H137">
        <v>4.2699999999999996</v>
      </c>
      <c r="I137">
        <v>3.93</v>
      </c>
      <c r="J137">
        <v>4.4400000000000004</v>
      </c>
      <c r="K137">
        <v>4.25</v>
      </c>
      <c r="L137">
        <v>4.2</v>
      </c>
      <c r="M137">
        <v>3.8</v>
      </c>
      <c r="O137">
        <v>3.5</v>
      </c>
      <c r="Q137">
        <v>12.2302</v>
      </c>
      <c r="R137">
        <v>217.40299999999999</v>
      </c>
      <c r="S137">
        <v>2.5039083027951312</v>
      </c>
      <c r="T137">
        <f t="shared" si="5"/>
        <v>-2.7699028124949621</v>
      </c>
      <c r="U137">
        <v>4.2939542177076433</v>
      </c>
      <c r="V137">
        <v>5.3817527740399198</v>
      </c>
      <c r="W137">
        <v>3.5917068591274082</v>
      </c>
      <c r="X137">
        <v>0</v>
      </c>
      <c r="Y137">
        <v>-3</v>
      </c>
      <c r="Z137">
        <v>90.599100000000007</v>
      </c>
      <c r="AA137">
        <v>2.206770752530447</v>
      </c>
      <c r="AB137">
        <v>0.2</v>
      </c>
      <c r="AC137">
        <v>-0.4664960004</v>
      </c>
      <c r="AE137">
        <v>0</v>
      </c>
      <c r="AF137">
        <v>0</v>
      </c>
      <c r="AG137">
        <v>-6.0604550832258353E-3</v>
      </c>
    </row>
    <row r="138" spans="1:33" x14ac:dyDescent="0.25">
      <c r="A138" s="1">
        <v>40299</v>
      </c>
      <c r="B138">
        <v>82.853099999999998</v>
      </c>
      <c r="C138">
        <f t="shared" si="4"/>
        <v>-0.16479999999999961</v>
      </c>
      <c r="D138">
        <v>0</v>
      </c>
      <c r="E138">
        <v>9.0733001787235402E-4</v>
      </c>
      <c r="F138">
        <v>72.793977999999996</v>
      </c>
      <c r="G138">
        <v>76.862499999999997</v>
      </c>
      <c r="H138">
        <v>3.92</v>
      </c>
      <c r="I138">
        <v>3.96</v>
      </c>
      <c r="J138">
        <v>4.5199999999999996</v>
      </c>
      <c r="K138">
        <v>4.3499999999999996</v>
      </c>
      <c r="L138">
        <v>4.12</v>
      </c>
      <c r="M138">
        <v>3.68</v>
      </c>
      <c r="O138">
        <v>3.5</v>
      </c>
      <c r="Q138">
        <v>12.742800000000001</v>
      </c>
      <c r="R138">
        <v>217.29</v>
      </c>
      <c r="S138">
        <v>2.5449664062156629</v>
      </c>
      <c r="T138">
        <f t="shared" si="5"/>
        <v>4.1058103420531733</v>
      </c>
      <c r="U138">
        <v>4.2876332320009496</v>
      </c>
      <c r="V138">
        <v>5.3812328668753446</v>
      </c>
      <c r="W138">
        <v>3.638566041090058</v>
      </c>
      <c r="X138">
        <v>0</v>
      </c>
      <c r="Y138">
        <v>-2</v>
      </c>
      <c r="Z138">
        <v>91.822999999999993</v>
      </c>
      <c r="AA138">
        <v>2.0035489292185784</v>
      </c>
      <c r="AB138">
        <v>0.2</v>
      </c>
      <c r="AC138">
        <v>-0.48283183159999998</v>
      </c>
      <c r="AE138">
        <v>0</v>
      </c>
      <c r="AF138">
        <v>0</v>
      </c>
      <c r="AG138">
        <v>-6.0604550832258353E-3</v>
      </c>
    </row>
    <row r="139" spans="1:33" x14ac:dyDescent="0.25">
      <c r="A139" s="1">
        <v>40330</v>
      </c>
      <c r="B139">
        <v>82.829899999999995</v>
      </c>
      <c r="C139">
        <f t="shared" si="4"/>
        <v>-2.3200000000002774E-2</v>
      </c>
      <c r="D139">
        <v>0</v>
      </c>
      <c r="E139">
        <v>-1.35552743553902E-3</v>
      </c>
      <c r="F139">
        <v>72.771182999999994</v>
      </c>
      <c r="G139">
        <v>76.968327000000002</v>
      </c>
      <c r="H139">
        <v>3.69</v>
      </c>
      <c r="I139">
        <v>3.85</v>
      </c>
      <c r="J139">
        <v>4.59</v>
      </c>
      <c r="K139">
        <v>4.2</v>
      </c>
      <c r="L139">
        <v>4.0999999999999996</v>
      </c>
      <c r="M139">
        <v>3.7</v>
      </c>
      <c r="O139">
        <v>3.5</v>
      </c>
      <c r="Q139">
        <v>12.7193</v>
      </c>
      <c r="R139">
        <v>217.19900000000001</v>
      </c>
      <c r="S139">
        <v>2.5431205249511502</v>
      </c>
      <c r="T139">
        <f t="shared" si="5"/>
        <v>-0.18458812645127942</v>
      </c>
      <c r="U139">
        <v>4.2873200389260457</v>
      </c>
      <c r="V139">
        <v>5.3808139839976166</v>
      </c>
      <c r="W139">
        <v>3.636614470022721</v>
      </c>
      <c r="X139">
        <v>0</v>
      </c>
      <c r="Y139">
        <v>0</v>
      </c>
      <c r="Z139">
        <v>91.992800000000003</v>
      </c>
      <c r="AA139">
        <v>1.1215605940686346</v>
      </c>
      <c r="AB139">
        <v>0.18</v>
      </c>
      <c r="AC139">
        <v>-0.54208820140000002</v>
      </c>
      <c r="AE139">
        <v>0</v>
      </c>
      <c r="AF139">
        <v>0</v>
      </c>
      <c r="AG139">
        <v>-6.0604550832258353E-3</v>
      </c>
    </row>
    <row r="140" spans="1:33" x14ac:dyDescent="0.25">
      <c r="A140" s="1">
        <v>40360</v>
      </c>
      <c r="B140">
        <v>83.117099999999994</v>
      </c>
      <c r="C140">
        <f t="shared" si="4"/>
        <v>0.28719999999999857</v>
      </c>
      <c r="D140">
        <v>0</v>
      </c>
      <c r="E140" s="2">
        <v>1.65336718849218E-5</v>
      </c>
      <c r="F140">
        <v>72.929190000000006</v>
      </c>
      <c r="G140">
        <v>77.128704999999997</v>
      </c>
      <c r="H140">
        <v>3.64</v>
      </c>
      <c r="I140">
        <v>3.74</v>
      </c>
      <c r="J140">
        <v>4.5999999999999996</v>
      </c>
      <c r="K140">
        <v>4.1500000000000004</v>
      </c>
      <c r="L140">
        <v>4</v>
      </c>
      <c r="M140">
        <v>3.65</v>
      </c>
      <c r="O140">
        <v>3.5</v>
      </c>
      <c r="Q140">
        <v>12.818899999999999</v>
      </c>
      <c r="R140">
        <v>217.60499999999999</v>
      </c>
      <c r="S140">
        <v>2.5509206443790622</v>
      </c>
      <c r="T140">
        <f t="shared" si="5"/>
        <v>0.78001194279120334</v>
      </c>
      <c r="U140">
        <v>4.2894889703939452</v>
      </c>
      <c r="V140">
        <v>5.3826814926589748</v>
      </c>
      <c r="W140">
        <v>3.6441131666440909</v>
      </c>
      <c r="X140">
        <v>0</v>
      </c>
      <c r="Y140">
        <v>-0.5</v>
      </c>
      <c r="Z140">
        <v>92.342100000000002</v>
      </c>
      <c r="AA140">
        <v>1.3407784804820986</v>
      </c>
      <c r="AB140">
        <v>0.18</v>
      </c>
      <c r="AC140">
        <v>-0.58967520149999997</v>
      </c>
      <c r="AE140">
        <v>0</v>
      </c>
      <c r="AF140">
        <v>0</v>
      </c>
      <c r="AG140">
        <v>-6.0604550832258353E-3</v>
      </c>
    </row>
    <row r="141" spans="1:33" x14ac:dyDescent="0.25">
      <c r="A141" s="1">
        <v>40391</v>
      </c>
      <c r="B141">
        <v>83.307599999999994</v>
      </c>
      <c r="C141">
        <f t="shared" si="4"/>
        <v>0.19050000000000011</v>
      </c>
      <c r="D141">
        <v>0</v>
      </c>
      <c r="E141">
        <v>1.1896032437874699E-4</v>
      </c>
      <c r="F141">
        <v>73.131749999999997</v>
      </c>
      <c r="G141">
        <v>77.203400000000002</v>
      </c>
      <c r="H141">
        <v>3.68</v>
      </c>
      <c r="I141">
        <v>3.69</v>
      </c>
      <c r="J141">
        <v>4.5199999999999996</v>
      </c>
      <c r="K141">
        <v>4.2</v>
      </c>
      <c r="L141">
        <v>3.9</v>
      </c>
      <c r="M141">
        <v>3.7</v>
      </c>
      <c r="O141">
        <v>3.5</v>
      </c>
      <c r="Q141">
        <v>12.769500000000001</v>
      </c>
      <c r="R141">
        <v>217.923</v>
      </c>
      <c r="S141">
        <v>2.5470595150100839</v>
      </c>
      <c r="T141">
        <f t="shared" si="5"/>
        <v>-0.3861129368978311</v>
      </c>
      <c r="U141">
        <v>4.2922626089842364</v>
      </c>
      <c r="V141">
        <v>5.3841417893862138</v>
      </c>
      <c r="W141">
        <v>3.6389386954120631</v>
      </c>
      <c r="X141">
        <v>0</v>
      </c>
      <c r="Y141">
        <v>-4</v>
      </c>
      <c r="Z141">
        <v>92.680499999999995</v>
      </c>
      <c r="AA141">
        <v>1.1501775395112481</v>
      </c>
      <c r="AB141">
        <v>0.19</v>
      </c>
      <c r="AC141">
        <v>-0.69854407789999995</v>
      </c>
      <c r="AE141">
        <v>0</v>
      </c>
      <c r="AF141">
        <v>0</v>
      </c>
      <c r="AG141">
        <v>-6.0604550832258353E-3</v>
      </c>
    </row>
    <row r="142" spans="1:33" x14ac:dyDescent="0.25">
      <c r="A142" s="1">
        <v>40422</v>
      </c>
      <c r="B142">
        <v>83.548900000000003</v>
      </c>
      <c r="C142">
        <f t="shared" si="4"/>
        <v>0.24130000000000962</v>
      </c>
      <c r="D142">
        <v>0</v>
      </c>
      <c r="E142">
        <v>7.3563363706075102E-4</v>
      </c>
      <c r="F142">
        <v>73.515110000000007</v>
      </c>
      <c r="G142">
        <v>77.482808000000006</v>
      </c>
      <c r="H142">
        <v>3.7</v>
      </c>
      <c r="I142">
        <v>3.65</v>
      </c>
      <c r="J142">
        <v>4.43</v>
      </c>
      <c r="K142">
        <v>4.0999999999999996</v>
      </c>
      <c r="L142">
        <v>3.85</v>
      </c>
      <c r="M142">
        <v>3.7</v>
      </c>
      <c r="O142">
        <v>3.5</v>
      </c>
      <c r="Q142">
        <v>12.7997</v>
      </c>
      <c r="R142">
        <v>218.27500000000001</v>
      </c>
      <c r="S142">
        <v>2.549421733150909</v>
      </c>
      <c r="T142">
        <f t="shared" si="5"/>
        <v>0.23622181408251564</v>
      </c>
      <c r="U142">
        <v>4.297490963321775</v>
      </c>
      <c r="V142">
        <v>5.385755735696871</v>
      </c>
      <c r="W142">
        <v>3.637686505526005</v>
      </c>
      <c r="X142">
        <v>0</v>
      </c>
      <c r="Y142">
        <v>17.5</v>
      </c>
      <c r="Z142">
        <v>92.953699999999998</v>
      </c>
      <c r="AA142">
        <v>1.1183122472331806</v>
      </c>
      <c r="AB142">
        <v>0.19</v>
      </c>
      <c r="AC142">
        <v>-0.79569893579999995</v>
      </c>
      <c r="AE142">
        <v>0</v>
      </c>
      <c r="AF142">
        <v>0</v>
      </c>
      <c r="AG142">
        <v>-6.0604550832258353E-3</v>
      </c>
    </row>
    <row r="143" spans="1:33" x14ac:dyDescent="0.25">
      <c r="A143" s="1">
        <v>40452</v>
      </c>
      <c r="B143">
        <v>83.515100000000004</v>
      </c>
      <c r="C143">
        <f t="shared" si="4"/>
        <v>-3.3799999999999386E-2</v>
      </c>
      <c r="D143">
        <v>0</v>
      </c>
      <c r="E143">
        <v>-2.0245075598408499E-3</v>
      </c>
      <c r="F143">
        <v>73.968925999999996</v>
      </c>
      <c r="G143">
        <v>77.630944999999997</v>
      </c>
      <c r="H143">
        <v>4.0199999999999996</v>
      </c>
      <c r="I143">
        <v>3.51</v>
      </c>
      <c r="J143">
        <v>4.03</v>
      </c>
      <c r="K143">
        <v>3.9</v>
      </c>
      <c r="L143">
        <v>3.7</v>
      </c>
      <c r="M143">
        <v>3.7</v>
      </c>
      <c r="O143">
        <v>3.5</v>
      </c>
      <c r="Q143">
        <v>12.4374</v>
      </c>
      <c r="R143">
        <v>219.035</v>
      </c>
      <c r="S143">
        <v>2.520708062251384</v>
      </c>
      <c r="T143">
        <f t="shared" si="5"/>
        <v>-2.8713670899525034</v>
      </c>
      <c r="U143">
        <v>4.3036450860946118</v>
      </c>
      <c r="V143">
        <v>5.3892315343986663</v>
      </c>
      <c r="W143">
        <v>3.606294510555438</v>
      </c>
      <c r="X143">
        <v>0</v>
      </c>
      <c r="Y143">
        <v>-2.5</v>
      </c>
      <c r="Z143">
        <v>92.690299999999993</v>
      </c>
      <c r="AA143">
        <v>1.1666951489314581</v>
      </c>
      <c r="AB143">
        <v>0.19</v>
      </c>
      <c r="AC143">
        <v>-0.9951581343</v>
      </c>
      <c r="AE143">
        <v>0</v>
      </c>
      <c r="AF143">
        <v>0</v>
      </c>
      <c r="AG143">
        <v>-6.0604550832258353E-3</v>
      </c>
    </row>
    <row r="144" spans="1:33" x14ac:dyDescent="0.25">
      <c r="A144" s="1">
        <v>40483</v>
      </c>
      <c r="B144">
        <v>83.682599999999994</v>
      </c>
      <c r="C144">
        <f t="shared" si="4"/>
        <v>0.16749999999998977</v>
      </c>
      <c r="D144">
        <v>0</v>
      </c>
      <c r="E144">
        <v>-2.4474543079984201E-3</v>
      </c>
      <c r="F144">
        <v>74.561581000000004</v>
      </c>
      <c r="G144">
        <v>77.814944999999994</v>
      </c>
      <c r="H144">
        <v>4.32</v>
      </c>
      <c r="I144">
        <v>3.61</v>
      </c>
      <c r="J144">
        <v>3.97</v>
      </c>
      <c r="K144">
        <v>3.9</v>
      </c>
      <c r="L144">
        <v>3.6</v>
      </c>
      <c r="M144">
        <v>3.7</v>
      </c>
      <c r="O144">
        <v>3.5</v>
      </c>
      <c r="Q144">
        <v>12.3391</v>
      </c>
      <c r="R144">
        <v>219.59</v>
      </c>
      <c r="S144">
        <v>2.512773082268029</v>
      </c>
      <c r="T144">
        <f t="shared" si="5"/>
        <v>-0.79349799833550172</v>
      </c>
      <c r="U144">
        <v>4.3116253745516673</v>
      </c>
      <c r="V144">
        <v>5.3917621712579002</v>
      </c>
      <c r="W144">
        <v>3.5929098789742611</v>
      </c>
      <c r="X144">
        <v>0</v>
      </c>
      <c r="Y144">
        <v>8.3500003814697266</v>
      </c>
      <c r="Z144">
        <v>92.770899999999997</v>
      </c>
      <c r="AA144">
        <v>1.0845447766003455</v>
      </c>
      <c r="AB144">
        <v>0.19</v>
      </c>
      <c r="AC144">
        <v>-0.95601419139999999</v>
      </c>
      <c r="AE144">
        <v>0</v>
      </c>
      <c r="AF144">
        <v>0</v>
      </c>
      <c r="AG144">
        <v>-6.0604550832258353E-3</v>
      </c>
    </row>
    <row r="145" spans="1:33" x14ac:dyDescent="0.25">
      <c r="A145" s="1">
        <v>40513</v>
      </c>
      <c r="B145">
        <v>84.3643</v>
      </c>
      <c r="C145">
        <f t="shared" si="4"/>
        <v>0.68170000000000641</v>
      </c>
      <c r="D145">
        <v>0</v>
      </c>
      <c r="E145">
        <v>3.1771347073954498E-3</v>
      </c>
      <c r="F145">
        <v>74.930954</v>
      </c>
      <c r="G145">
        <v>78.150823000000003</v>
      </c>
      <c r="H145">
        <v>4.4000000000000004</v>
      </c>
      <c r="I145">
        <v>3.58</v>
      </c>
      <c r="J145">
        <v>4.3</v>
      </c>
      <c r="K145">
        <v>3.9</v>
      </c>
      <c r="L145">
        <v>3.7</v>
      </c>
      <c r="M145">
        <v>3.6</v>
      </c>
      <c r="O145">
        <v>3.5</v>
      </c>
      <c r="Q145">
        <v>12.388500000000001</v>
      </c>
      <c r="R145">
        <v>220.47200000000001</v>
      </c>
      <c r="S145">
        <v>2.5167686229367439</v>
      </c>
      <c r="T145">
        <f t="shared" si="5"/>
        <v>0.39955406687148809</v>
      </c>
      <c r="U145">
        <v>4.3165670761782602</v>
      </c>
      <c r="V145">
        <v>5.3957707026967494</v>
      </c>
      <c r="W145">
        <v>3.595972249455234</v>
      </c>
      <c r="X145">
        <v>0</v>
      </c>
      <c r="Y145">
        <v>0</v>
      </c>
      <c r="Z145">
        <v>93.678700000000006</v>
      </c>
      <c r="AA145">
        <v>1.4377930222179278</v>
      </c>
      <c r="AB145">
        <v>0.18</v>
      </c>
      <c r="AC145">
        <v>-0.8848186334</v>
      </c>
      <c r="AE145">
        <v>0</v>
      </c>
      <c r="AF145">
        <v>0</v>
      </c>
      <c r="AG145">
        <v>0</v>
      </c>
    </row>
    <row r="146" spans="1:33" x14ac:dyDescent="0.25">
      <c r="A146" s="1">
        <v>40544</v>
      </c>
      <c r="B146">
        <v>84.482500000000002</v>
      </c>
      <c r="C146">
        <f t="shared" si="4"/>
        <v>0.11820000000000164</v>
      </c>
      <c r="D146">
        <v>0</v>
      </c>
      <c r="E146">
        <v>2.0355750815390702E-3</v>
      </c>
      <c r="F146">
        <v>75.295991000000001</v>
      </c>
      <c r="G146">
        <v>78.508111999999997</v>
      </c>
      <c r="H146">
        <v>3.78</v>
      </c>
      <c r="I146">
        <v>3.27</v>
      </c>
      <c r="J146">
        <v>4.1399999999999997</v>
      </c>
      <c r="K146">
        <v>3.9</v>
      </c>
      <c r="L146">
        <v>3.6</v>
      </c>
      <c r="M146">
        <v>3.6</v>
      </c>
      <c r="O146">
        <v>3.5</v>
      </c>
      <c r="Q146">
        <v>12.1258</v>
      </c>
      <c r="R146">
        <v>221.18700000000001</v>
      </c>
      <c r="S146">
        <v>2.4953354140284461</v>
      </c>
      <c r="T146">
        <f t="shared" si="5"/>
        <v>-2.1433208908297807</v>
      </c>
      <c r="U146">
        <v>4.3214268930166826</v>
      </c>
      <c r="V146">
        <v>5.3990084975775554</v>
      </c>
      <c r="W146">
        <v>3.5729170185893189</v>
      </c>
      <c r="X146">
        <v>0</v>
      </c>
      <c r="Y146">
        <v>-4</v>
      </c>
      <c r="Z146">
        <v>93.481399999999994</v>
      </c>
      <c r="AA146">
        <v>1.7007834915029849</v>
      </c>
      <c r="AB146">
        <v>0.17</v>
      </c>
      <c r="AC146">
        <v>-1.011230525</v>
      </c>
      <c r="AE146">
        <v>0</v>
      </c>
      <c r="AF146">
        <v>0</v>
      </c>
      <c r="AG146">
        <v>-6.0604550832258353E-3</v>
      </c>
    </row>
    <row r="147" spans="1:33" x14ac:dyDescent="0.25">
      <c r="A147" s="1">
        <v>40575</v>
      </c>
      <c r="B147">
        <v>84.673100000000005</v>
      </c>
      <c r="C147">
        <f t="shared" si="4"/>
        <v>0.19060000000000343</v>
      </c>
      <c r="D147">
        <v>0</v>
      </c>
      <c r="E147">
        <v>1.7034017280783699E-3</v>
      </c>
      <c r="F147">
        <v>75.578460000000007</v>
      </c>
      <c r="G147">
        <v>78.824087000000006</v>
      </c>
      <c r="H147">
        <v>3.57</v>
      </c>
      <c r="I147">
        <v>3.26</v>
      </c>
      <c r="J147">
        <v>4.04</v>
      </c>
      <c r="K147">
        <v>3.85</v>
      </c>
      <c r="L147">
        <v>3.6</v>
      </c>
      <c r="M147">
        <v>3.6</v>
      </c>
      <c r="O147">
        <v>3.5</v>
      </c>
      <c r="Q147">
        <v>12.0703</v>
      </c>
      <c r="R147">
        <v>221.898</v>
      </c>
      <c r="S147">
        <v>2.4907478898129871</v>
      </c>
      <c r="T147">
        <f t="shared" si="5"/>
        <v>-0.4587524215458938</v>
      </c>
      <c r="U147">
        <v>4.325171321952971</v>
      </c>
      <c r="V147">
        <v>5.4022178168289807</v>
      </c>
      <c r="W147">
        <v>3.5677943846889968</v>
      </c>
      <c r="X147">
        <v>0</v>
      </c>
      <c r="Y147">
        <v>0</v>
      </c>
      <c r="Z147">
        <v>93.110200000000006</v>
      </c>
      <c r="AA147">
        <v>2.1248981733331447</v>
      </c>
      <c r="AB147">
        <v>0.16</v>
      </c>
      <c r="AC147">
        <v>-1.0913065070000001</v>
      </c>
      <c r="AE147">
        <v>0</v>
      </c>
      <c r="AF147">
        <v>0</v>
      </c>
      <c r="AG147">
        <v>0</v>
      </c>
    </row>
    <row r="148" spans="1:33" x14ac:dyDescent="0.25">
      <c r="A148" s="1">
        <v>40603</v>
      </c>
      <c r="B148">
        <v>85.207400000000007</v>
      </c>
      <c r="C148">
        <f t="shared" si="4"/>
        <v>0.53430000000000177</v>
      </c>
      <c r="D148">
        <v>0</v>
      </c>
      <c r="E148">
        <v>5.3726930356221602E-3</v>
      </c>
      <c r="F148">
        <v>75.723450999999997</v>
      </c>
      <c r="G148">
        <v>79.059361999999993</v>
      </c>
      <c r="H148">
        <v>3.04</v>
      </c>
      <c r="I148">
        <v>3.21</v>
      </c>
      <c r="J148">
        <v>4.2699999999999996</v>
      </c>
      <c r="K148">
        <v>3.8</v>
      </c>
      <c r="L148">
        <v>3.65</v>
      </c>
      <c r="M148">
        <v>3.6</v>
      </c>
      <c r="O148">
        <v>3.5</v>
      </c>
      <c r="Q148">
        <v>11.9992</v>
      </c>
      <c r="R148">
        <v>223.04599999999999</v>
      </c>
      <c r="S148">
        <v>2.4848399808990131</v>
      </c>
      <c r="T148">
        <f t="shared" si="5"/>
        <v>-0.59079089139739693</v>
      </c>
      <c r="U148">
        <v>4.3270879011081762</v>
      </c>
      <c r="V148">
        <v>5.4073780282146373</v>
      </c>
      <c r="W148">
        <v>3.5651301080054738</v>
      </c>
      <c r="X148">
        <v>0</v>
      </c>
      <c r="Y148">
        <v>-2.0999999046325684</v>
      </c>
      <c r="Z148">
        <v>94.078800000000001</v>
      </c>
      <c r="AA148">
        <v>2.6192415103541169</v>
      </c>
      <c r="AB148">
        <v>0.14000000000000001</v>
      </c>
      <c r="AC148">
        <v>-0.99145962830000001</v>
      </c>
      <c r="AE148">
        <v>0</v>
      </c>
      <c r="AF148">
        <v>0</v>
      </c>
      <c r="AG148">
        <v>-6.0604550832258353E-3</v>
      </c>
    </row>
    <row r="149" spans="1:33" x14ac:dyDescent="0.25">
      <c r="A149" s="1">
        <v>40634</v>
      </c>
      <c r="B149">
        <v>84.371099999999998</v>
      </c>
      <c r="C149">
        <f t="shared" si="4"/>
        <v>-0.83630000000000848</v>
      </c>
      <c r="D149">
        <v>0</v>
      </c>
      <c r="E149">
        <v>-7.1383677535976596E-3</v>
      </c>
      <c r="F149">
        <v>75.717440999999994</v>
      </c>
      <c r="G149">
        <v>79.118986000000007</v>
      </c>
      <c r="H149">
        <v>3.36</v>
      </c>
      <c r="I149">
        <v>3.18</v>
      </c>
      <c r="J149">
        <v>4.28</v>
      </c>
      <c r="K149">
        <v>3.9</v>
      </c>
      <c r="L149">
        <v>3.7</v>
      </c>
      <c r="M149">
        <v>3.6</v>
      </c>
      <c r="O149">
        <v>3.5</v>
      </c>
      <c r="Q149">
        <v>11.718400000000001</v>
      </c>
      <c r="R149">
        <v>224.09299999999999</v>
      </c>
      <c r="S149">
        <v>2.4611602560580002</v>
      </c>
      <c r="T149">
        <f t="shared" si="5"/>
        <v>-2.3679724841012995</v>
      </c>
      <c r="U149">
        <v>4.3270085302074399</v>
      </c>
      <c r="V149">
        <v>5.412061144263693</v>
      </c>
      <c r="W149">
        <v>3.5462128701142528</v>
      </c>
      <c r="X149">
        <v>0</v>
      </c>
      <c r="Y149">
        <v>-0.89999997615814209</v>
      </c>
      <c r="Z149">
        <v>93.774900000000002</v>
      </c>
      <c r="AA149">
        <v>3.0772344447868698</v>
      </c>
      <c r="AB149">
        <v>0.1</v>
      </c>
      <c r="AC149">
        <v>-1.066277578</v>
      </c>
      <c r="AE149">
        <v>0</v>
      </c>
      <c r="AF149">
        <v>0</v>
      </c>
      <c r="AG149">
        <v>-6.0604550832258353E-3</v>
      </c>
    </row>
    <row r="150" spans="1:33" x14ac:dyDescent="0.25">
      <c r="A150" s="1">
        <v>40664</v>
      </c>
      <c r="B150">
        <v>85.526399999999995</v>
      </c>
      <c r="C150">
        <f t="shared" si="4"/>
        <v>1.1552999999999969</v>
      </c>
      <c r="D150">
        <v>0</v>
      </c>
      <c r="E150">
        <v>3.7957067050733398E-3</v>
      </c>
      <c r="F150">
        <v>75.159263999999993</v>
      </c>
      <c r="G150">
        <v>79.259855999999999</v>
      </c>
      <c r="H150">
        <v>3.25</v>
      </c>
      <c r="I150">
        <v>3.12</v>
      </c>
      <c r="J150">
        <v>4.3099999999999996</v>
      </c>
      <c r="K150">
        <v>4</v>
      </c>
      <c r="L150">
        <v>3.6</v>
      </c>
      <c r="M150">
        <v>3.6</v>
      </c>
      <c r="O150">
        <v>3.5</v>
      </c>
      <c r="Q150">
        <v>11.6533</v>
      </c>
      <c r="R150">
        <v>224.80600000000001</v>
      </c>
      <c r="S150">
        <v>2.4555894017032349</v>
      </c>
      <c r="T150">
        <f t="shared" si="5"/>
        <v>-0.55708543547652312</v>
      </c>
      <c r="U150">
        <v>4.3196093820545292</v>
      </c>
      <c r="V150">
        <v>5.4152378080548127</v>
      </c>
      <c r="W150">
        <v>3.551217827703518</v>
      </c>
      <c r="X150">
        <v>0</v>
      </c>
      <c r="Y150">
        <v>0</v>
      </c>
      <c r="Z150">
        <v>93.888000000000005</v>
      </c>
      <c r="AA150">
        <v>3.4589718808965069</v>
      </c>
      <c r="AB150">
        <v>0.09</v>
      </c>
      <c r="AC150">
        <v>-1.140435034</v>
      </c>
      <c r="AE150">
        <v>0</v>
      </c>
      <c r="AF150">
        <v>0</v>
      </c>
      <c r="AG150">
        <v>-6.0604550832258353E-3</v>
      </c>
    </row>
    <row r="151" spans="1:33" x14ac:dyDescent="0.25">
      <c r="A151" s="1">
        <v>40695</v>
      </c>
      <c r="B151">
        <v>85.869900000000001</v>
      </c>
      <c r="C151">
        <f t="shared" si="4"/>
        <v>0.34350000000000591</v>
      </c>
      <c r="D151">
        <v>0</v>
      </c>
      <c r="E151">
        <v>5.1282357936717196E-3</v>
      </c>
      <c r="F151">
        <v>75.155507999999998</v>
      </c>
      <c r="G151">
        <v>79.413224999999997</v>
      </c>
      <c r="H151">
        <v>3.28</v>
      </c>
      <c r="I151">
        <v>3.18</v>
      </c>
      <c r="J151">
        <v>4.37</v>
      </c>
      <c r="K151">
        <v>4.0999999999999996</v>
      </c>
      <c r="L151">
        <v>3.6</v>
      </c>
      <c r="M151">
        <v>3.6</v>
      </c>
      <c r="O151">
        <v>3.5</v>
      </c>
      <c r="Q151">
        <v>11.805999999999999</v>
      </c>
      <c r="R151">
        <v>224.80600000000001</v>
      </c>
      <c r="S151">
        <v>2.4686078768184969</v>
      </c>
      <c r="T151">
        <f t="shared" si="5"/>
        <v>1.3018475115261996</v>
      </c>
      <c r="U151">
        <v>4.3195594069263263</v>
      </c>
      <c r="V151">
        <v>5.4152378080548127</v>
      </c>
      <c r="W151">
        <v>3.5642862779469842</v>
      </c>
      <c r="X151">
        <v>0</v>
      </c>
      <c r="Y151">
        <v>0</v>
      </c>
      <c r="Z151">
        <v>94.171999999999997</v>
      </c>
      <c r="AA151">
        <v>3.5023181506360523</v>
      </c>
      <c r="AB151">
        <v>0.09</v>
      </c>
      <c r="AC151">
        <v>-1.121861818</v>
      </c>
      <c r="AE151">
        <v>0</v>
      </c>
      <c r="AF151">
        <v>0</v>
      </c>
      <c r="AG151">
        <v>0</v>
      </c>
    </row>
    <row r="152" spans="1:33" x14ac:dyDescent="0.25">
      <c r="A152" s="1">
        <v>40725</v>
      </c>
      <c r="B152">
        <v>86.130300000000005</v>
      </c>
      <c r="C152">
        <f t="shared" si="4"/>
        <v>0.26040000000000418</v>
      </c>
      <c r="D152">
        <v>0</v>
      </c>
      <c r="E152">
        <v>5.4792828635781303E-3</v>
      </c>
      <c r="F152">
        <v>75.516107000000005</v>
      </c>
      <c r="G152">
        <v>79.591637000000006</v>
      </c>
      <c r="H152">
        <v>3.55</v>
      </c>
      <c r="I152">
        <v>3.19</v>
      </c>
      <c r="J152">
        <v>4.1399999999999997</v>
      </c>
      <c r="K152">
        <v>3.9</v>
      </c>
      <c r="L152">
        <v>3.5</v>
      </c>
      <c r="M152">
        <v>3.6</v>
      </c>
      <c r="O152">
        <v>3.5</v>
      </c>
      <c r="Q152">
        <v>11.672599999999999</v>
      </c>
      <c r="R152">
        <v>225.39500000000001</v>
      </c>
      <c r="S152">
        <v>2.4572442149712561</v>
      </c>
      <c r="T152">
        <f t="shared" si="5"/>
        <v>-1.1363661847240802</v>
      </c>
      <c r="U152">
        <v>4.3243459712500618</v>
      </c>
      <c r="V152">
        <v>5.4178544185734756</v>
      </c>
      <c r="W152">
        <v>3.5507526622946708</v>
      </c>
      <c r="X152">
        <v>0</v>
      </c>
      <c r="Y152">
        <v>-3.5</v>
      </c>
      <c r="Z152">
        <v>94.635999999999996</v>
      </c>
      <c r="AA152">
        <v>3.5798809769996192</v>
      </c>
      <c r="AB152">
        <v>7.0000000000000007E-2</v>
      </c>
      <c r="AC152">
        <v>-1.1922609399999999</v>
      </c>
      <c r="AE152">
        <v>0</v>
      </c>
      <c r="AF152">
        <v>0</v>
      </c>
      <c r="AG152">
        <v>-6.0604550832258353E-3</v>
      </c>
    </row>
    <row r="153" spans="1:33" x14ac:dyDescent="0.25">
      <c r="A153" s="1">
        <v>40756</v>
      </c>
      <c r="B153">
        <v>86.841999999999999</v>
      </c>
      <c r="C153">
        <f t="shared" si="4"/>
        <v>0.71169999999999334</v>
      </c>
      <c r="D153">
        <v>0</v>
      </c>
      <c r="E153">
        <v>1.10385529860952E-2</v>
      </c>
      <c r="F153">
        <v>75.635554999999997</v>
      </c>
      <c r="G153">
        <v>79.687016</v>
      </c>
      <c r="H153">
        <v>3.42</v>
      </c>
      <c r="I153">
        <v>3.22</v>
      </c>
      <c r="J153">
        <v>4.05</v>
      </c>
      <c r="K153">
        <v>3.95</v>
      </c>
      <c r="L153">
        <v>3.6</v>
      </c>
      <c r="M153">
        <v>3.6</v>
      </c>
      <c r="O153">
        <v>3.5</v>
      </c>
      <c r="Q153">
        <v>12.2319</v>
      </c>
      <c r="R153">
        <v>226.10599999999999</v>
      </c>
      <c r="S153">
        <v>2.5040472933153839</v>
      </c>
      <c r="T153">
        <f t="shared" si="5"/>
        <v>4.680307834412778</v>
      </c>
      <c r="U153">
        <v>4.3259264768599186</v>
      </c>
      <c r="V153">
        <v>5.4210039158623884</v>
      </c>
      <c r="W153">
        <v>3.5991247323178528</v>
      </c>
      <c r="X153">
        <v>0</v>
      </c>
      <c r="Y153">
        <v>-17</v>
      </c>
      <c r="Z153">
        <v>95.274900000000002</v>
      </c>
      <c r="AA153">
        <v>3.754996030708091</v>
      </c>
      <c r="AB153">
        <v>0.1</v>
      </c>
      <c r="AC153">
        <v>-1.377122116</v>
      </c>
      <c r="AE153">
        <v>0</v>
      </c>
      <c r="AF153">
        <v>0</v>
      </c>
      <c r="AG153">
        <v>-6.0604550832258353E-3</v>
      </c>
    </row>
    <row r="154" spans="1:33" x14ac:dyDescent="0.25">
      <c r="A154" s="1">
        <v>40787</v>
      </c>
      <c r="B154">
        <v>86.946399999999997</v>
      </c>
      <c r="C154">
        <f t="shared" si="4"/>
        <v>0.10439999999999827</v>
      </c>
      <c r="D154">
        <v>0</v>
      </c>
      <c r="E154">
        <v>9.5849602330568794E-3</v>
      </c>
      <c r="F154">
        <v>75.821112999999997</v>
      </c>
      <c r="G154">
        <v>79.898959000000005</v>
      </c>
      <c r="H154">
        <v>3.14</v>
      </c>
      <c r="I154">
        <v>3.12</v>
      </c>
      <c r="J154">
        <v>4.2300000000000004</v>
      </c>
      <c r="K154">
        <v>3.9</v>
      </c>
      <c r="L154">
        <v>3.5</v>
      </c>
      <c r="M154">
        <v>3.6</v>
      </c>
      <c r="O154">
        <v>3.5</v>
      </c>
      <c r="Q154">
        <v>13.044499999999999</v>
      </c>
      <c r="R154">
        <v>226.59700000000001</v>
      </c>
      <c r="S154">
        <v>2.5683665889924892</v>
      </c>
      <c r="T154">
        <f t="shared" si="5"/>
        <v>6.4319295677105259</v>
      </c>
      <c r="U154">
        <v>4.3283767894845342</v>
      </c>
      <c r="V154">
        <v>5.4231731093182711</v>
      </c>
      <c r="W154">
        <v>3.6631629088262261</v>
      </c>
      <c r="X154">
        <v>0</v>
      </c>
      <c r="Y154">
        <v>0</v>
      </c>
      <c r="Z154">
        <v>95.196100000000001</v>
      </c>
      <c r="AA154">
        <v>3.8126216928186936</v>
      </c>
      <c r="AB154">
        <v>0.08</v>
      </c>
      <c r="AC154">
        <v>-1.4024514210000001</v>
      </c>
      <c r="AE154">
        <v>0</v>
      </c>
      <c r="AF154">
        <v>0</v>
      </c>
      <c r="AG154">
        <v>0</v>
      </c>
    </row>
    <row r="155" spans="1:33" x14ac:dyDescent="0.25">
      <c r="A155" s="1">
        <v>40817</v>
      </c>
      <c r="B155">
        <v>86.9876</v>
      </c>
      <c r="C155">
        <f t="shared" si="4"/>
        <v>4.1200000000003456E-2</v>
      </c>
      <c r="D155">
        <v>0.25</v>
      </c>
      <c r="E155">
        <v>7.42543468150991E-3</v>
      </c>
      <c r="F155">
        <v>76.332712000000001</v>
      </c>
      <c r="G155">
        <v>80.106074000000007</v>
      </c>
      <c r="H155">
        <v>3.2</v>
      </c>
      <c r="I155">
        <v>3.19</v>
      </c>
      <c r="J155">
        <v>4.3600000000000003</v>
      </c>
      <c r="K155">
        <v>3.8</v>
      </c>
      <c r="L155">
        <v>3.4</v>
      </c>
      <c r="M155">
        <v>3.6</v>
      </c>
      <c r="O155">
        <v>3.5</v>
      </c>
      <c r="Q155">
        <v>13.435</v>
      </c>
      <c r="R155">
        <v>226.75</v>
      </c>
      <c r="S155">
        <v>2.5978632420674548</v>
      </c>
      <c r="T155">
        <f t="shared" si="5"/>
        <v>2.9496653074965629</v>
      </c>
      <c r="U155">
        <v>4.3351015751150106</v>
      </c>
      <c r="V155">
        <v>5.4238480889952463</v>
      </c>
      <c r="W155">
        <v>3.68660975594769</v>
      </c>
      <c r="X155">
        <v>0</v>
      </c>
      <c r="Y155">
        <v>-3.7000000476837158</v>
      </c>
      <c r="Z155">
        <v>95.856800000000007</v>
      </c>
      <c r="AA155">
        <v>3.5222681306640511</v>
      </c>
      <c r="AB155">
        <v>7.0000000000000007E-2</v>
      </c>
      <c r="AC155">
        <v>-1.4372424260000001</v>
      </c>
      <c r="AE155">
        <v>0</v>
      </c>
      <c r="AF155">
        <v>0.25</v>
      </c>
      <c r="AG155">
        <v>0.2339801405423324</v>
      </c>
    </row>
    <row r="156" spans="1:33" x14ac:dyDescent="0.25">
      <c r="A156" s="1">
        <v>40848</v>
      </c>
      <c r="B156">
        <v>87.600999999999999</v>
      </c>
      <c r="C156">
        <f t="shared" si="4"/>
        <v>0.61339999999999861</v>
      </c>
      <c r="D156">
        <v>0</v>
      </c>
      <c r="E156">
        <v>1.1847119650043999E-2</v>
      </c>
      <c r="F156">
        <v>77.158332999999999</v>
      </c>
      <c r="G156">
        <v>80.364585000000005</v>
      </c>
      <c r="H156">
        <v>3.48</v>
      </c>
      <c r="I156">
        <v>3.28</v>
      </c>
      <c r="J156">
        <v>4.3499999999999996</v>
      </c>
      <c r="K156">
        <v>3.7</v>
      </c>
      <c r="L156">
        <v>3.55</v>
      </c>
      <c r="M156">
        <v>3.6</v>
      </c>
      <c r="O156">
        <v>3.5</v>
      </c>
      <c r="Q156">
        <v>13.699299999999999</v>
      </c>
      <c r="R156">
        <v>227.16900000000001</v>
      </c>
      <c r="S156">
        <v>2.6173447366381799</v>
      </c>
      <c r="T156">
        <f t="shared" si="5"/>
        <v>1.9481494570725122</v>
      </c>
      <c r="U156">
        <v>4.34585958334588</v>
      </c>
      <c r="V156">
        <v>5.425694233875741</v>
      </c>
      <c r="W156">
        <v>3.697179387168041</v>
      </c>
      <c r="X156">
        <v>0</v>
      </c>
      <c r="Y156">
        <v>0</v>
      </c>
      <c r="Z156">
        <v>95.848500000000001</v>
      </c>
      <c r="AA156">
        <v>3.451432214581724</v>
      </c>
      <c r="AB156">
        <v>0.08</v>
      </c>
      <c r="AC156">
        <v>-1.4835341529999999</v>
      </c>
      <c r="AE156">
        <v>0</v>
      </c>
      <c r="AF156">
        <v>0</v>
      </c>
      <c r="AG156">
        <v>0</v>
      </c>
    </row>
    <row r="157" spans="1:33" x14ac:dyDescent="0.25">
      <c r="A157" s="1">
        <v>40878</v>
      </c>
      <c r="B157">
        <v>87.553200000000004</v>
      </c>
      <c r="C157">
        <f t="shared" si="4"/>
        <v>-4.779999999999518E-2</v>
      </c>
      <c r="D157">
        <v>0.25</v>
      </c>
      <c r="E157">
        <v>8.7301046184400394E-3</v>
      </c>
      <c r="F157">
        <v>77.792384999999996</v>
      </c>
      <c r="G157">
        <v>80.771269000000004</v>
      </c>
      <c r="H157">
        <v>3.82</v>
      </c>
      <c r="I157">
        <v>3.35</v>
      </c>
      <c r="J157">
        <v>4.34</v>
      </c>
      <c r="K157">
        <v>3.6</v>
      </c>
      <c r="L157">
        <v>3.4</v>
      </c>
      <c r="M157">
        <v>3.6</v>
      </c>
      <c r="O157">
        <v>3.5</v>
      </c>
      <c r="Q157">
        <v>13.7689</v>
      </c>
      <c r="R157">
        <v>227.22300000000001</v>
      </c>
      <c r="S157">
        <v>2.622412425744308</v>
      </c>
      <c r="T157">
        <f t="shared" si="5"/>
        <v>0.50676891061280926</v>
      </c>
      <c r="U157">
        <v>4.3540435472164889</v>
      </c>
      <c r="V157">
        <v>5.4259319141177098</v>
      </c>
      <c r="W157">
        <v>3.6943007926455289</v>
      </c>
      <c r="X157">
        <v>0</v>
      </c>
      <c r="Y157">
        <v>9.8000001907348633</v>
      </c>
      <c r="Z157">
        <v>96.357100000000003</v>
      </c>
      <c r="AA157">
        <v>3.0620668384193932</v>
      </c>
      <c r="AB157">
        <v>7.0000000000000007E-2</v>
      </c>
      <c r="AC157">
        <v>-1.466434244</v>
      </c>
      <c r="AE157">
        <v>0</v>
      </c>
      <c r="AF157">
        <v>0.25</v>
      </c>
      <c r="AG157">
        <v>0.18597893469698726</v>
      </c>
    </row>
    <row r="158" spans="1:33" x14ac:dyDescent="0.25">
      <c r="A158" s="1">
        <v>40909</v>
      </c>
      <c r="B158">
        <v>88.336399999999998</v>
      </c>
      <c r="C158">
        <f t="shared" si="4"/>
        <v>0.78319999999999368</v>
      </c>
      <c r="D158">
        <v>0</v>
      </c>
      <c r="E158">
        <v>1.51034738293134E-2</v>
      </c>
      <c r="F158">
        <v>78.343048999999993</v>
      </c>
      <c r="G158">
        <v>81.133182000000005</v>
      </c>
      <c r="H158">
        <v>4.05</v>
      </c>
      <c r="I158">
        <v>3.34</v>
      </c>
      <c r="J158">
        <v>4.2699999999999996</v>
      </c>
      <c r="K158">
        <v>3.8</v>
      </c>
      <c r="L158">
        <v>3.4</v>
      </c>
      <c r="M158">
        <v>3.6</v>
      </c>
      <c r="O158">
        <v>3.5</v>
      </c>
      <c r="Q158">
        <v>13.4178</v>
      </c>
      <c r="R158">
        <v>227.84200000000001</v>
      </c>
      <c r="S158">
        <v>2.596582183678589</v>
      </c>
      <c r="T158">
        <f t="shared" si="5"/>
        <v>-2.5830242065719045</v>
      </c>
      <c r="U158">
        <v>4.3610972475722249</v>
      </c>
      <c r="V158">
        <v>5.4286524062749706</v>
      </c>
      <c r="W158">
        <v>3.6641373423813359</v>
      </c>
      <c r="X158">
        <v>0</v>
      </c>
      <c r="Y158">
        <v>-4.5</v>
      </c>
      <c r="Z158">
        <v>96.931799999999996</v>
      </c>
      <c r="AA158">
        <v>3.0087663379855059</v>
      </c>
      <c r="AB158">
        <v>0.08</v>
      </c>
      <c r="AC158">
        <v>-1.5397827630000001</v>
      </c>
      <c r="AE158">
        <v>0</v>
      </c>
      <c r="AF158">
        <v>0</v>
      </c>
      <c r="AG158">
        <v>-6.0604550832258353E-3</v>
      </c>
    </row>
    <row r="159" spans="1:33" x14ac:dyDescent="0.25">
      <c r="A159" s="1">
        <v>40940</v>
      </c>
      <c r="B159">
        <v>88.517899999999997</v>
      </c>
      <c r="C159">
        <f t="shared" si="4"/>
        <v>0.18149999999999977</v>
      </c>
      <c r="D159">
        <v>0</v>
      </c>
      <c r="E159">
        <v>1.4667059720899499E-2</v>
      </c>
      <c r="F159">
        <v>78.502313999999998</v>
      </c>
      <c r="G159">
        <v>81.478176000000005</v>
      </c>
      <c r="H159">
        <v>3.87</v>
      </c>
      <c r="I159">
        <v>3.37</v>
      </c>
      <c r="J159">
        <v>4.32</v>
      </c>
      <c r="K159">
        <v>3.6</v>
      </c>
      <c r="L159">
        <v>3.4</v>
      </c>
      <c r="M159">
        <v>3.6</v>
      </c>
      <c r="O159">
        <v>3.5</v>
      </c>
      <c r="Q159">
        <v>12.783099999999999</v>
      </c>
      <c r="R159">
        <v>228.32900000000001</v>
      </c>
      <c r="S159">
        <v>2.548123986045062</v>
      </c>
      <c r="T159">
        <f t="shared" si="5"/>
        <v>-4.8458197633526989</v>
      </c>
      <c r="U159">
        <v>4.3631281020609096</v>
      </c>
      <c r="V159">
        <v>5.4307875713118392</v>
      </c>
      <c r="W159">
        <v>3.6157834552959911</v>
      </c>
      <c r="X159">
        <v>0</v>
      </c>
      <c r="Y159">
        <v>0</v>
      </c>
      <c r="Z159">
        <v>97.243499999999997</v>
      </c>
      <c r="AA159">
        <v>2.89817844234739</v>
      </c>
      <c r="AB159">
        <v>0.1</v>
      </c>
      <c r="AC159">
        <v>-1.4516844090000001</v>
      </c>
      <c r="AE159">
        <v>0</v>
      </c>
      <c r="AF159">
        <v>0</v>
      </c>
      <c r="AG159">
        <v>0</v>
      </c>
    </row>
    <row r="160" spans="1:33" x14ac:dyDescent="0.25">
      <c r="A160" s="1">
        <v>40969</v>
      </c>
      <c r="B160">
        <v>88.691599999999994</v>
      </c>
      <c r="C160">
        <f t="shared" si="4"/>
        <v>0.17369999999999663</v>
      </c>
      <c r="D160">
        <v>0</v>
      </c>
      <c r="E160">
        <v>1.41851648298506E-2</v>
      </c>
      <c r="F160">
        <v>78.547388999999995</v>
      </c>
      <c r="G160">
        <v>81.677294000000003</v>
      </c>
      <c r="H160">
        <v>3.73</v>
      </c>
      <c r="I160">
        <v>3.31</v>
      </c>
      <c r="J160">
        <v>4.24</v>
      </c>
      <c r="K160">
        <v>3.8</v>
      </c>
      <c r="L160">
        <v>3.5</v>
      </c>
      <c r="M160">
        <v>3.6</v>
      </c>
      <c r="O160">
        <v>3.45</v>
      </c>
      <c r="Q160">
        <v>12.7567</v>
      </c>
      <c r="R160">
        <v>228.80699999999999</v>
      </c>
      <c r="S160">
        <v>2.5460566237788909</v>
      </c>
      <c r="T160">
        <f t="shared" si="5"/>
        <v>-0.20673622661711022</v>
      </c>
      <c r="U160">
        <v>4.3637021241746314</v>
      </c>
      <c r="V160">
        <v>5.4328788534432384</v>
      </c>
      <c r="W160">
        <v>3.6152333530474969</v>
      </c>
      <c r="X160">
        <v>0</v>
      </c>
      <c r="Y160">
        <v>-0.80000001192092896</v>
      </c>
      <c r="Z160">
        <v>96.74</v>
      </c>
      <c r="AA160">
        <v>2.5828752813320999</v>
      </c>
      <c r="AB160">
        <v>0.13</v>
      </c>
      <c r="AC160">
        <v>-1.2660872439999999</v>
      </c>
      <c r="AE160">
        <v>0</v>
      </c>
      <c r="AF160">
        <v>0</v>
      </c>
      <c r="AG160">
        <v>-6.0604550832258353E-3</v>
      </c>
    </row>
    <row r="161" spans="1:33" x14ac:dyDescent="0.25">
      <c r="A161" s="1">
        <v>41000</v>
      </c>
      <c r="B161">
        <v>88.908799999999999</v>
      </c>
      <c r="C161">
        <f t="shared" si="4"/>
        <v>0.21720000000000539</v>
      </c>
      <c r="D161">
        <v>0.75</v>
      </c>
      <c r="E161">
        <v>1.42378065452471E-2</v>
      </c>
      <c r="F161">
        <v>78.300979999999996</v>
      </c>
      <c r="G161">
        <v>81.800315999999995</v>
      </c>
      <c r="H161">
        <v>3.41</v>
      </c>
      <c r="I161">
        <v>3.39</v>
      </c>
      <c r="J161">
        <v>4.29</v>
      </c>
      <c r="K161">
        <v>3.8</v>
      </c>
      <c r="L161">
        <v>3.45</v>
      </c>
      <c r="M161">
        <v>3.6</v>
      </c>
      <c r="O161">
        <v>3.5</v>
      </c>
      <c r="Q161">
        <v>13.069699999999999</v>
      </c>
      <c r="R161">
        <v>229.18700000000001</v>
      </c>
      <c r="S161">
        <v>2.5702965740444661</v>
      </c>
      <c r="T161">
        <f t="shared" si="5"/>
        <v>2.4239950265575239</v>
      </c>
      <c r="U161">
        <v>4.360560118882673</v>
      </c>
      <c r="V161">
        <v>5.4345382642093121</v>
      </c>
      <c r="W161">
        <v>3.6442747193711051</v>
      </c>
      <c r="X161">
        <v>0</v>
      </c>
      <c r="Y161">
        <v>25</v>
      </c>
      <c r="Z161">
        <v>97.435900000000004</v>
      </c>
      <c r="AA161">
        <v>2.2731633741348558</v>
      </c>
      <c r="AB161">
        <v>0.14000000000000001</v>
      </c>
      <c r="AC161">
        <v>-1.262017722</v>
      </c>
      <c r="AE161">
        <v>0</v>
      </c>
      <c r="AF161">
        <v>0.75</v>
      </c>
      <c r="AG161">
        <v>0.53403952667398835</v>
      </c>
    </row>
    <row r="162" spans="1:33" x14ac:dyDescent="0.25">
      <c r="A162" s="1">
        <v>41030</v>
      </c>
      <c r="B162">
        <v>88.514200000000002</v>
      </c>
      <c r="C162">
        <f t="shared" si="4"/>
        <v>-0.39459999999999695</v>
      </c>
      <c r="D162">
        <v>0</v>
      </c>
      <c r="E162">
        <v>7.4466967516189104E-3</v>
      </c>
      <c r="F162">
        <v>78.053819000000004</v>
      </c>
      <c r="G162">
        <v>82.017578</v>
      </c>
      <c r="H162">
        <v>3.85</v>
      </c>
      <c r="I162">
        <v>3.48</v>
      </c>
      <c r="J162">
        <v>4.3899999999999997</v>
      </c>
      <c r="K162">
        <v>4</v>
      </c>
      <c r="L162">
        <v>3.4</v>
      </c>
      <c r="M162">
        <v>3.6</v>
      </c>
      <c r="O162">
        <v>3.5</v>
      </c>
      <c r="Q162">
        <v>13.663399999999999</v>
      </c>
      <c r="R162">
        <v>228.71299999999999</v>
      </c>
      <c r="S162">
        <v>2.6147207250750721</v>
      </c>
      <c r="T162">
        <f t="shared" si="5"/>
        <v>4.4424151030606041</v>
      </c>
      <c r="U162">
        <v>4.3573985759373652</v>
      </c>
      <c r="V162">
        <v>5.4324679424390299</v>
      </c>
      <c r="W162">
        <v>3.6897900915767359</v>
      </c>
      <c r="X162">
        <v>0</v>
      </c>
      <c r="Y162">
        <v>0</v>
      </c>
      <c r="Z162">
        <v>97.660899999999998</v>
      </c>
      <c r="AA162">
        <v>1.7379429374660738</v>
      </c>
      <c r="AB162">
        <v>0.16</v>
      </c>
      <c r="AC162">
        <v>-1.2372236109999999</v>
      </c>
      <c r="AE162">
        <v>0</v>
      </c>
      <c r="AF162">
        <v>0</v>
      </c>
      <c r="AG162">
        <v>0</v>
      </c>
    </row>
    <row r="163" spans="1:33" x14ac:dyDescent="0.25">
      <c r="A163" s="1">
        <v>41061</v>
      </c>
      <c r="B163">
        <v>89.112099999999998</v>
      </c>
      <c r="C163">
        <f t="shared" si="4"/>
        <v>0.59789999999999566</v>
      </c>
      <c r="D163">
        <v>0</v>
      </c>
      <c r="E163">
        <v>1.1886530411543601E-2</v>
      </c>
      <c r="F163">
        <v>78.413667000000004</v>
      </c>
      <c r="G163">
        <v>82.194641000000004</v>
      </c>
      <c r="H163">
        <v>4.34</v>
      </c>
      <c r="I163">
        <v>3.5</v>
      </c>
      <c r="J163">
        <v>4.34</v>
      </c>
      <c r="K163">
        <v>3.9</v>
      </c>
      <c r="L163">
        <v>3.4</v>
      </c>
      <c r="M163">
        <v>3.6</v>
      </c>
      <c r="O163">
        <v>3.5</v>
      </c>
      <c r="Q163">
        <v>13.9192</v>
      </c>
      <c r="R163">
        <v>228.524</v>
      </c>
      <c r="S163">
        <v>2.6332691819903689</v>
      </c>
      <c r="T163">
        <f t="shared" si="5"/>
        <v>1.8548456915296718</v>
      </c>
      <c r="U163">
        <v>4.361998236143295</v>
      </c>
      <c r="V163">
        <v>5.4316412376414558</v>
      </c>
      <c r="W163">
        <v>3.702912183488531</v>
      </c>
      <c r="X163">
        <v>0</v>
      </c>
      <c r="Y163">
        <v>-1.5</v>
      </c>
      <c r="Z163">
        <v>97.666300000000007</v>
      </c>
      <c r="AA163">
        <v>1.6538704482976385</v>
      </c>
      <c r="AB163">
        <v>0.16</v>
      </c>
      <c r="AC163">
        <v>-1.111065451</v>
      </c>
      <c r="AE163">
        <v>0</v>
      </c>
      <c r="AF163">
        <v>0</v>
      </c>
      <c r="AG163">
        <v>-6.0604550832258353E-3</v>
      </c>
    </row>
    <row r="164" spans="1:33" x14ac:dyDescent="0.25">
      <c r="A164" s="1">
        <v>41091</v>
      </c>
      <c r="B164">
        <v>89.472200000000001</v>
      </c>
      <c r="C164">
        <f t="shared" si="4"/>
        <v>0.36010000000000275</v>
      </c>
      <c r="D164">
        <v>0</v>
      </c>
      <c r="E164">
        <v>1.3677566281171699E-2</v>
      </c>
      <c r="F164">
        <v>78.853897000000003</v>
      </c>
      <c r="G164">
        <v>82.450632999999996</v>
      </c>
      <c r="H164">
        <v>4.42</v>
      </c>
      <c r="I164">
        <v>3.59</v>
      </c>
      <c r="J164">
        <v>4.1500000000000004</v>
      </c>
      <c r="K164">
        <v>3.75</v>
      </c>
      <c r="L164">
        <v>3.4</v>
      </c>
      <c r="M164">
        <v>3.5</v>
      </c>
      <c r="O164">
        <v>3.4</v>
      </c>
      <c r="Q164">
        <v>13.366099999999999</v>
      </c>
      <c r="R164">
        <v>228.59</v>
      </c>
      <c r="S164">
        <v>2.5927216507308</v>
      </c>
      <c r="T164">
        <f t="shared" si="5"/>
        <v>-4.0547531259568892</v>
      </c>
      <c r="U164">
        <v>4.3675967351427509</v>
      </c>
      <c r="V164">
        <v>5.4319300058719566</v>
      </c>
      <c r="W164">
        <v>3.6570549214600061</v>
      </c>
      <c r="X164">
        <v>0</v>
      </c>
      <c r="Y164">
        <v>0.5</v>
      </c>
      <c r="Z164">
        <v>97.871300000000005</v>
      </c>
      <c r="AA164">
        <v>1.4175114798464887</v>
      </c>
      <c r="AB164">
        <v>0.16</v>
      </c>
      <c r="AC164">
        <v>-1.178772881</v>
      </c>
      <c r="AE164">
        <v>0</v>
      </c>
      <c r="AF164">
        <v>0</v>
      </c>
      <c r="AG164">
        <v>-6.0604550832258353E-3</v>
      </c>
    </row>
    <row r="165" spans="1:33" x14ac:dyDescent="0.25">
      <c r="A165" s="1">
        <v>41122</v>
      </c>
      <c r="B165">
        <v>88.959699999999998</v>
      </c>
      <c r="C165">
        <f t="shared" si="4"/>
        <v>-0.51250000000000284</v>
      </c>
      <c r="D165">
        <v>0</v>
      </c>
      <c r="E165">
        <v>5.7407729575524903E-3</v>
      </c>
      <c r="F165">
        <v>79.090540000000004</v>
      </c>
      <c r="G165">
        <v>82.635630000000006</v>
      </c>
      <c r="H165">
        <v>4.57</v>
      </c>
      <c r="I165">
        <v>3.7</v>
      </c>
      <c r="J165">
        <v>4.13</v>
      </c>
      <c r="K165">
        <v>3.8</v>
      </c>
      <c r="L165">
        <v>3.5</v>
      </c>
      <c r="M165">
        <v>3.55</v>
      </c>
      <c r="O165">
        <v>3.5</v>
      </c>
      <c r="Q165">
        <v>13.1845</v>
      </c>
      <c r="R165">
        <v>229.91800000000001</v>
      </c>
      <c r="S165">
        <v>2.579041897205272</v>
      </c>
      <c r="T165">
        <f t="shared" si="5"/>
        <v>-1.3679753525527971</v>
      </c>
      <c r="U165">
        <v>4.3705932721727034</v>
      </c>
      <c r="V165">
        <v>5.4377227236150798</v>
      </c>
      <c r="W165">
        <v>3.6461713486476479</v>
      </c>
      <c r="X165">
        <v>0</v>
      </c>
      <c r="Y165">
        <v>0</v>
      </c>
      <c r="Z165">
        <v>97.452500000000001</v>
      </c>
      <c r="AA165">
        <v>1.6859349154821242</v>
      </c>
      <c r="AB165">
        <v>0.13</v>
      </c>
      <c r="AC165">
        <v>-1.258667947</v>
      </c>
      <c r="AE165">
        <v>0</v>
      </c>
      <c r="AF165">
        <v>0</v>
      </c>
      <c r="AG165">
        <v>0</v>
      </c>
    </row>
    <row r="166" spans="1:33" x14ac:dyDescent="0.25">
      <c r="A166" s="1">
        <v>41153</v>
      </c>
      <c r="B166">
        <v>89.315299999999993</v>
      </c>
      <c r="C166">
        <f t="shared" si="4"/>
        <v>0.35559999999999548</v>
      </c>
      <c r="D166">
        <v>0</v>
      </c>
      <c r="E166">
        <v>7.5853974704109799E-3</v>
      </c>
      <c r="F166">
        <v>79.439119000000005</v>
      </c>
      <c r="G166">
        <v>82.781926999999996</v>
      </c>
      <c r="H166">
        <v>4.7699999999999996</v>
      </c>
      <c r="I166">
        <v>3.61</v>
      </c>
      <c r="J166">
        <v>4.17</v>
      </c>
      <c r="K166">
        <v>3.9</v>
      </c>
      <c r="L166">
        <v>3.5</v>
      </c>
      <c r="M166">
        <v>3.6</v>
      </c>
      <c r="O166">
        <v>3.45</v>
      </c>
      <c r="Q166">
        <v>12.939399999999999</v>
      </c>
      <c r="R166">
        <v>231.01499999999999</v>
      </c>
      <c r="S166">
        <v>2.56027692014611</v>
      </c>
      <c r="T166">
        <f t="shared" si="5"/>
        <v>-1.8764977059162025</v>
      </c>
      <c r="U166">
        <v>4.3749909295445049</v>
      </c>
      <c r="V166">
        <v>5.4424826434785381</v>
      </c>
      <c r="W166">
        <v>3.6277686340801418</v>
      </c>
      <c r="X166">
        <v>0</v>
      </c>
      <c r="Y166">
        <v>3.5</v>
      </c>
      <c r="Z166">
        <v>97.381</v>
      </c>
      <c r="AA166">
        <v>1.9497168982819624</v>
      </c>
      <c r="AB166">
        <v>0.14000000000000001</v>
      </c>
      <c r="AC166">
        <v>-1.3604632219999999</v>
      </c>
      <c r="AE166">
        <v>0</v>
      </c>
      <c r="AF166">
        <v>0</v>
      </c>
      <c r="AG166">
        <v>-6.0604550832258353E-3</v>
      </c>
    </row>
    <row r="167" spans="1:33" x14ac:dyDescent="0.25">
      <c r="A167" s="1">
        <v>41183</v>
      </c>
      <c r="B167">
        <v>89.215199999999996</v>
      </c>
      <c r="C167">
        <f t="shared" si="4"/>
        <v>-0.10009999999999764</v>
      </c>
      <c r="D167">
        <v>-0.25</v>
      </c>
      <c r="E167">
        <v>4.3645205392417504E-3</v>
      </c>
      <c r="F167">
        <v>79.841036000000003</v>
      </c>
      <c r="G167">
        <v>82.970473999999996</v>
      </c>
      <c r="H167">
        <v>4.5999999999999996</v>
      </c>
      <c r="I167">
        <v>3.58</v>
      </c>
      <c r="J167">
        <v>4.21</v>
      </c>
      <c r="K167">
        <v>3.9</v>
      </c>
      <c r="L167">
        <v>3.5</v>
      </c>
      <c r="M167">
        <v>3.6</v>
      </c>
      <c r="O167">
        <v>3.4</v>
      </c>
      <c r="Q167">
        <v>12.891</v>
      </c>
      <c r="R167">
        <v>231.63800000000001</v>
      </c>
      <c r="S167">
        <v>2.5565293934609681</v>
      </c>
      <c r="T167">
        <f t="shared" si="5"/>
        <v>-0.37475266851418887</v>
      </c>
      <c r="U167">
        <v>4.3800376078709258</v>
      </c>
      <c r="V167">
        <v>5.4451758082329382</v>
      </c>
      <c r="W167">
        <v>3.6216675938229801</v>
      </c>
      <c r="X167">
        <v>0</v>
      </c>
      <c r="Y167">
        <v>4</v>
      </c>
      <c r="Z167">
        <v>97.719300000000004</v>
      </c>
      <c r="AA167">
        <v>2.1556780595369371</v>
      </c>
      <c r="AB167">
        <v>0.16</v>
      </c>
      <c r="AC167">
        <v>-1.3389741959999999</v>
      </c>
      <c r="AE167">
        <v>0</v>
      </c>
      <c r="AF167">
        <v>-0.25</v>
      </c>
      <c r="AG167">
        <v>-0.1755049421599531</v>
      </c>
    </row>
    <row r="168" spans="1:33" x14ac:dyDescent="0.25">
      <c r="A168" s="1">
        <v>41214</v>
      </c>
      <c r="B168">
        <v>90.084400000000002</v>
      </c>
      <c r="C168">
        <f t="shared" si="4"/>
        <v>0.86920000000000641</v>
      </c>
      <c r="D168">
        <v>-0.25</v>
      </c>
      <c r="E168">
        <v>1.20029546518001E-2</v>
      </c>
      <c r="F168">
        <v>80.383437000000001</v>
      </c>
      <c r="G168">
        <v>83.013381999999993</v>
      </c>
      <c r="H168">
        <v>4.18</v>
      </c>
      <c r="I168">
        <v>3.3</v>
      </c>
      <c r="J168">
        <v>4.29</v>
      </c>
      <c r="K168">
        <v>3.8</v>
      </c>
      <c r="L168">
        <v>3.5</v>
      </c>
      <c r="M168">
        <v>3.6</v>
      </c>
      <c r="O168">
        <v>3.5</v>
      </c>
      <c r="Q168">
        <v>13.0746</v>
      </c>
      <c r="R168">
        <v>231.249</v>
      </c>
      <c r="S168">
        <v>2.5706714167487941</v>
      </c>
      <c r="T168">
        <f t="shared" si="5"/>
        <v>1.4142023287825989</v>
      </c>
      <c r="U168">
        <v>4.3868081474997824</v>
      </c>
      <c r="V168">
        <v>5.4434950520588608</v>
      </c>
      <c r="W168">
        <v>3.6273583213078728</v>
      </c>
      <c r="X168">
        <v>0</v>
      </c>
      <c r="Y168">
        <v>-3.5</v>
      </c>
      <c r="Z168">
        <v>98.077699999999993</v>
      </c>
      <c r="AA168">
        <v>1.7960197033926213</v>
      </c>
      <c r="AB168">
        <v>0.16</v>
      </c>
      <c r="AC168">
        <v>-1.4228455099999999</v>
      </c>
      <c r="AD168">
        <v>3.9449999999999998</v>
      </c>
      <c r="AE168">
        <v>0</v>
      </c>
      <c r="AF168">
        <v>-0.25</v>
      </c>
      <c r="AG168">
        <v>-0.24610105070878407</v>
      </c>
    </row>
    <row r="169" spans="1:33" x14ac:dyDescent="0.25">
      <c r="A169" s="1">
        <v>41244</v>
      </c>
      <c r="B169">
        <v>89.762600000000006</v>
      </c>
      <c r="C169">
        <f t="shared" si="4"/>
        <v>-0.32179999999999609</v>
      </c>
      <c r="D169">
        <v>0</v>
      </c>
      <c r="E169">
        <v>6.4063889728487302E-3</v>
      </c>
      <c r="F169">
        <v>80.568242999999995</v>
      </c>
      <c r="G169">
        <v>83.113737</v>
      </c>
      <c r="H169">
        <v>3.57</v>
      </c>
      <c r="I169">
        <v>2.9</v>
      </c>
      <c r="J169">
        <v>4.05</v>
      </c>
      <c r="K169">
        <v>3.65</v>
      </c>
      <c r="L169">
        <v>3.4</v>
      </c>
      <c r="M169">
        <v>3.6</v>
      </c>
      <c r="O169">
        <v>3.5</v>
      </c>
      <c r="Q169">
        <v>12.8705</v>
      </c>
      <c r="R169">
        <v>231.221</v>
      </c>
      <c r="S169">
        <v>2.5549378708922421</v>
      </c>
      <c r="T169">
        <f t="shared" si="5"/>
        <v>-1.5733545856551956</v>
      </c>
      <c r="U169">
        <v>4.3891045644270861</v>
      </c>
      <c r="V169">
        <v>5.4433739631232143</v>
      </c>
      <c r="W169">
        <v>3.6092072695883708</v>
      </c>
      <c r="X169">
        <v>0</v>
      </c>
      <c r="Y169">
        <v>0</v>
      </c>
      <c r="Z169">
        <v>98.310100000000006</v>
      </c>
      <c r="AA169">
        <v>1.7595049796895517</v>
      </c>
      <c r="AB169">
        <v>0.16</v>
      </c>
      <c r="AC169">
        <v>-1.4299000669999999</v>
      </c>
      <c r="AD169">
        <v>3.8769999999999998</v>
      </c>
      <c r="AE169">
        <v>0</v>
      </c>
      <c r="AF169">
        <v>0</v>
      </c>
      <c r="AG169">
        <v>0</v>
      </c>
    </row>
    <row r="170" spans="1:33" x14ac:dyDescent="0.25">
      <c r="A170" s="1">
        <v>41275</v>
      </c>
      <c r="B170">
        <v>89.6845</v>
      </c>
      <c r="C170">
        <f t="shared" si="4"/>
        <v>-7.8100000000006276E-2</v>
      </c>
      <c r="D170">
        <v>0</v>
      </c>
      <c r="E170">
        <v>3.5531482817337001E-3</v>
      </c>
      <c r="F170">
        <v>80.892781999999997</v>
      </c>
      <c r="G170">
        <v>83.466488999999996</v>
      </c>
      <c r="H170">
        <v>3.25</v>
      </c>
      <c r="I170">
        <v>2.88</v>
      </c>
      <c r="J170">
        <v>4.1500000000000004</v>
      </c>
      <c r="K170">
        <v>3.65</v>
      </c>
      <c r="L170">
        <v>3.3</v>
      </c>
      <c r="M170">
        <v>3.5</v>
      </c>
      <c r="O170">
        <v>3.5</v>
      </c>
      <c r="Q170">
        <v>12.699</v>
      </c>
      <c r="R170">
        <v>231.679</v>
      </c>
      <c r="S170">
        <v>2.5415232502068958</v>
      </c>
      <c r="T170">
        <f t="shared" si="5"/>
        <v>-1.3414620685346268</v>
      </c>
      <c r="U170">
        <v>4.3931245988231771</v>
      </c>
      <c r="V170">
        <v>5.4453527928896941</v>
      </c>
      <c r="W170">
        <v>3.5937514442734129</v>
      </c>
      <c r="X170">
        <v>0</v>
      </c>
      <c r="Y170">
        <v>-8</v>
      </c>
      <c r="Z170">
        <v>98.334199999999996</v>
      </c>
      <c r="AA170">
        <v>1.6840617620982914</v>
      </c>
      <c r="AB170">
        <v>0.14000000000000001</v>
      </c>
      <c r="AC170">
        <v>-1.357627814</v>
      </c>
      <c r="AD170">
        <v>3.6789999999999998</v>
      </c>
      <c r="AE170">
        <v>0</v>
      </c>
      <c r="AF170">
        <v>0</v>
      </c>
      <c r="AG170">
        <v>-6.0604550832258353E-3</v>
      </c>
    </row>
    <row r="171" spans="1:33" x14ac:dyDescent="0.25">
      <c r="A171" s="1">
        <v>41306</v>
      </c>
      <c r="B171">
        <v>89.558899999999994</v>
      </c>
      <c r="C171">
        <f t="shared" si="4"/>
        <v>-0.12560000000000571</v>
      </c>
      <c r="D171">
        <v>0</v>
      </c>
      <c r="E171">
        <v>1.9963708773307299E-4</v>
      </c>
      <c r="F171">
        <v>81.290942999999999</v>
      </c>
      <c r="G171">
        <v>83.891259000000005</v>
      </c>
      <c r="H171">
        <v>3.55</v>
      </c>
      <c r="I171">
        <v>2.96</v>
      </c>
      <c r="J171">
        <v>4.1900000000000004</v>
      </c>
      <c r="K171">
        <v>3.57</v>
      </c>
      <c r="L171">
        <v>3.3</v>
      </c>
      <c r="M171">
        <v>3.5</v>
      </c>
      <c r="O171">
        <v>3.4</v>
      </c>
      <c r="Q171">
        <v>12.722899999999999</v>
      </c>
      <c r="R171">
        <v>232.93700000000001</v>
      </c>
      <c r="S171">
        <v>2.543403519348177</v>
      </c>
      <c r="T171">
        <f t="shared" si="5"/>
        <v>0.18802691412811434</v>
      </c>
      <c r="U171">
        <v>4.3980346081340551</v>
      </c>
      <c r="V171">
        <v>5.450768030738649</v>
      </c>
      <c r="W171">
        <v>3.59613694195277</v>
      </c>
      <c r="X171">
        <v>0</v>
      </c>
      <c r="Y171">
        <v>0</v>
      </c>
      <c r="Z171">
        <v>98.7941</v>
      </c>
      <c r="AA171">
        <v>2.0181404902574811</v>
      </c>
      <c r="AB171">
        <v>0.15</v>
      </c>
      <c r="AC171">
        <v>-1.422477971</v>
      </c>
      <c r="AD171">
        <v>3.5840000000000001</v>
      </c>
      <c r="AE171">
        <v>0</v>
      </c>
      <c r="AF171">
        <v>0</v>
      </c>
      <c r="AG171">
        <v>0</v>
      </c>
    </row>
    <row r="172" spans="1:33" x14ac:dyDescent="0.25">
      <c r="A172" s="1">
        <v>41334</v>
      </c>
      <c r="B172">
        <v>89.497</v>
      </c>
      <c r="C172">
        <f t="shared" si="4"/>
        <v>-6.1899999999994293E-2</v>
      </c>
      <c r="D172">
        <v>-5.5</v>
      </c>
      <c r="E172">
        <v>-2.41780500049149E-3</v>
      </c>
      <c r="F172">
        <v>81.887433000000001</v>
      </c>
      <c r="G172">
        <v>84.143653999999998</v>
      </c>
      <c r="H172">
        <v>4.25</v>
      </c>
      <c r="I172">
        <v>3.02</v>
      </c>
      <c r="J172">
        <v>3.98</v>
      </c>
      <c r="K172">
        <v>3.6</v>
      </c>
      <c r="L172">
        <v>3.25</v>
      </c>
      <c r="M172">
        <v>3.54</v>
      </c>
      <c r="O172">
        <v>3.5</v>
      </c>
      <c r="Q172">
        <v>12.524699999999999</v>
      </c>
      <c r="R172">
        <v>232.28200000000001</v>
      </c>
      <c r="S172">
        <v>2.5277026945882639</v>
      </c>
      <c r="T172">
        <f t="shared" si="5"/>
        <v>-1.5700824759913079</v>
      </c>
      <c r="U172">
        <v>4.4053455358619651</v>
      </c>
      <c r="V172">
        <v>5.4479521507646966</v>
      </c>
      <c r="W172">
        <v>3.570309309490995</v>
      </c>
      <c r="X172">
        <v>-0.36111111111111072</v>
      </c>
      <c r="Y172">
        <v>-7</v>
      </c>
      <c r="Z172">
        <v>99.192099999999996</v>
      </c>
      <c r="AA172">
        <v>1.5187472411246259</v>
      </c>
      <c r="AB172">
        <v>0.14000000000000001</v>
      </c>
      <c r="AC172">
        <v>-1.4405887959999999</v>
      </c>
      <c r="AD172">
        <v>3.5720000000000001</v>
      </c>
      <c r="AE172">
        <v>-0.36111111111111072</v>
      </c>
      <c r="AF172">
        <v>-5.5</v>
      </c>
      <c r="AG172">
        <v>-3.9667936546361293</v>
      </c>
    </row>
    <row r="173" spans="1:33" x14ac:dyDescent="0.25">
      <c r="A173" s="1">
        <v>41365</v>
      </c>
      <c r="B173">
        <v>89.196799999999996</v>
      </c>
      <c r="C173">
        <f t="shared" si="4"/>
        <v>-0.3002000000000038</v>
      </c>
      <c r="D173">
        <v>0</v>
      </c>
      <c r="E173">
        <v>-7.6824682629697003E-3</v>
      </c>
      <c r="F173">
        <v>81.941523000000004</v>
      </c>
      <c r="G173">
        <v>84.211000999999996</v>
      </c>
      <c r="H173">
        <v>4.6500000000000004</v>
      </c>
      <c r="I173">
        <v>2.95</v>
      </c>
      <c r="J173">
        <v>3.82</v>
      </c>
      <c r="K173">
        <v>3.39</v>
      </c>
      <c r="L173">
        <v>3.3</v>
      </c>
      <c r="M173">
        <v>3.52</v>
      </c>
      <c r="O173">
        <v>3.5</v>
      </c>
      <c r="Q173">
        <v>12.205</v>
      </c>
      <c r="R173">
        <v>231.797</v>
      </c>
      <c r="S173">
        <v>2.501845703844924</v>
      </c>
      <c r="T173">
        <f t="shared" si="5"/>
        <v>-2.5856990743339914</v>
      </c>
      <c r="U173">
        <v>4.4060058587168012</v>
      </c>
      <c r="V173">
        <v>5.4458619886303561</v>
      </c>
      <c r="W173">
        <v>3.5417018337584789</v>
      </c>
      <c r="X173">
        <v>-0.43181818181818166</v>
      </c>
      <c r="Y173">
        <v>2</v>
      </c>
      <c r="Z173">
        <v>99.106499999999997</v>
      </c>
      <c r="AA173">
        <v>1.1388080475768632</v>
      </c>
      <c r="AB173">
        <v>0.15</v>
      </c>
      <c r="AC173">
        <v>-1.523674803</v>
      </c>
      <c r="AD173">
        <v>3.476</v>
      </c>
      <c r="AE173">
        <v>-0.43181818181818166</v>
      </c>
      <c r="AF173">
        <v>0</v>
      </c>
      <c r="AG173">
        <v>-6.0604550832258353E-3</v>
      </c>
    </row>
    <row r="174" spans="1:33" x14ac:dyDescent="0.25">
      <c r="A174" s="1">
        <v>41395</v>
      </c>
      <c r="B174">
        <v>89.9268</v>
      </c>
      <c r="C174">
        <f t="shared" si="4"/>
        <v>0.73000000000000398</v>
      </c>
      <c r="D174">
        <v>0</v>
      </c>
      <c r="E174">
        <v>-1.4195776588916699E-3</v>
      </c>
      <c r="F174">
        <v>81.668819999999997</v>
      </c>
      <c r="G174">
        <v>84.377260000000007</v>
      </c>
      <c r="H174">
        <v>4.63</v>
      </c>
      <c r="I174">
        <v>2.88</v>
      </c>
      <c r="J174">
        <v>3.72</v>
      </c>
      <c r="K174">
        <v>3.34</v>
      </c>
      <c r="L174">
        <v>3.1</v>
      </c>
      <c r="M174">
        <v>3.55</v>
      </c>
      <c r="O174">
        <v>3.5</v>
      </c>
      <c r="Q174">
        <v>12.311500000000001</v>
      </c>
      <c r="R174">
        <v>231.893</v>
      </c>
      <c r="S174">
        <v>2.510533784925713</v>
      </c>
      <c r="T174">
        <f t="shared" si="5"/>
        <v>0.86880810807890008</v>
      </c>
      <c r="U174">
        <v>4.4026722888759444</v>
      </c>
      <c r="V174">
        <v>5.4462760583811436</v>
      </c>
      <c r="W174">
        <v>3.5541375544309139</v>
      </c>
      <c r="X174">
        <v>0</v>
      </c>
      <c r="Y174">
        <v>0</v>
      </c>
      <c r="Z174">
        <v>99.183899999999994</v>
      </c>
      <c r="AA174">
        <v>1.3903888279197103</v>
      </c>
      <c r="AB174">
        <v>0.11</v>
      </c>
      <c r="AC174">
        <v>-1.269019653</v>
      </c>
      <c r="AD174">
        <v>3.4950000000000001</v>
      </c>
      <c r="AE174">
        <v>0</v>
      </c>
      <c r="AF174">
        <v>0</v>
      </c>
      <c r="AG174">
        <v>0</v>
      </c>
    </row>
    <row r="175" spans="1:33" x14ac:dyDescent="0.25">
      <c r="A175" s="1">
        <v>41426</v>
      </c>
      <c r="B175">
        <v>89.642099999999999</v>
      </c>
      <c r="C175">
        <f t="shared" si="4"/>
        <v>-0.28470000000000084</v>
      </c>
      <c r="D175">
        <v>0</v>
      </c>
      <c r="E175">
        <v>-6.4656974501193804E-3</v>
      </c>
      <c r="F175">
        <v>81.619237999999996</v>
      </c>
      <c r="G175">
        <v>84.485574</v>
      </c>
      <c r="H175">
        <v>4.09</v>
      </c>
      <c r="I175">
        <v>2.79</v>
      </c>
      <c r="J175">
        <v>3.78</v>
      </c>
      <c r="K175">
        <v>3.43</v>
      </c>
      <c r="L175">
        <v>3.13</v>
      </c>
      <c r="M175">
        <v>3.5</v>
      </c>
      <c r="O175">
        <v>3.49</v>
      </c>
      <c r="Q175">
        <v>12.9596</v>
      </c>
      <c r="R175">
        <v>232.44499999999999</v>
      </c>
      <c r="S175">
        <v>2.5618368262502891</v>
      </c>
      <c r="T175">
        <f t="shared" si="5"/>
        <v>5.1303041324576082</v>
      </c>
      <c r="U175">
        <v>4.4020649939870076</v>
      </c>
      <c r="V175">
        <v>5.4486536379030994</v>
      </c>
      <c r="W175">
        <v>3.6084254701663809</v>
      </c>
      <c r="X175">
        <v>0</v>
      </c>
      <c r="Y175">
        <v>3</v>
      </c>
      <c r="Z175">
        <v>99.389700000000005</v>
      </c>
      <c r="AA175">
        <v>1.7157935271568816</v>
      </c>
      <c r="AB175">
        <v>0.09</v>
      </c>
      <c r="AC175">
        <v>-0.96951993830000005</v>
      </c>
      <c r="AD175">
        <v>3.5750000000000002</v>
      </c>
      <c r="AE175">
        <v>0</v>
      </c>
      <c r="AF175">
        <v>0</v>
      </c>
      <c r="AG175">
        <v>-6.0604550832258353E-3</v>
      </c>
    </row>
    <row r="176" spans="1:33" x14ac:dyDescent="0.25">
      <c r="A176" s="1">
        <v>41456</v>
      </c>
      <c r="B176">
        <v>89.691400000000002</v>
      </c>
      <c r="C176">
        <f t="shared" si="4"/>
        <v>4.9300000000002342E-2</v>
      </c>
      <c r="D176">
        <v>0</v>
      </c>
      <c r="E176">
        <v>-7.7822232614286301E-3</v>
      </c>
      <c r="F176">
        <v>81.592192999999995</v>
      </c>
      <c r="G176">
        <v>84.514266000000006</v>
      </c>
      <c r="H176">
        <v>3.47</v>
      </c>
      <c r="I176">
        <v>2.5</v>
      </c>
      <c r="J176">
        <v>3.85</v>
      </c>
      <c r="K176">
        <v>3.56</v>
      </c>
      <c r="L176">
        <v>3.13</v>
      </c>
      <c r="M176">
        <v>3.6</v>
      </c>
      <c r="N176">
        <v>3.2</v>
      </c>
      <c r="O176">
        <v>3.5</v>
      </c>
      <c r="P176">
        <v>3.23</v>
      </c>
      <c r="Q176">
        <v>12.7659</v>
      </c>
      <c r="R176">
        <v>232.9</v>
      </c>
      <c r="S176">
        <v>2.5467775534959629</v>
      </c>
      <c r="T176">
        <f t="shared" si="5"/>
        <v>-1.505927275432617</v>
      </c>
      <c r="U176">
        <v>4.4017335833734021</v>
      </c>
      <c r="V176">
        <v>5.4506091768902953</v>
      </c>
      <c r="W176">
        <v>3.595653147012857</v>
      </c>
      <c r="X176">
        <v>0</v>
      </c>
      <c r="Y176">
        <v>0</v>
      </c>
      <c r="Z176">
        <v>99.081400000000002</v>
      </c>
      <c r="AA176">
        <v>1.8854718054158108</v>
      </c>
      <c r="AB176">
        <v>0.09</v>
      </c>
      <c r="AC176">
        <v>-1.522271165</v>
      </c>
      <c r="AD176">
        <v>3.7</v>
      </c>
      <c r="AE176">
        <v>0</v>
      </c>
      <c r="AF176">
        <v>0</v>
      </c>
      <c r="AG176">
        <v>-6.0604550832258353E-3</v>
      </c>
    </row>
    <row r="177" spans="1:33" x14ac:dyDescent="0.25">
      <c r="A177" s="1">
        <v>41487</v>
      </c>
      <c r="B177">
        <v>90.257099999999994</v>
      </c>
      <c r="C177">
        <f t="shared" si="4"/>
        <v>0.56569999999999254</v>
      </c>
      <c r="D177">
        <v>0</v>
      </c>
      <c r="E177">
        <v>-3.3558000941953398E-3</v>
      </c>
      <c r="F177">
        <v>81.824327999999994</v>
      </c>
      <c r="G177">
        <v>84.590638999999996</v>
      </c>
      <c r="H177">
        <v>3.46</v>
      </c>
      <c r="I177">
        <v>2.37</v>
      </c>
      <c r="J177">
        <v>3.84</v>
      </c>
      <c r="K177">
        <v>3.6</v>
      </c>
      <c r="L177">
        <v>3.19</v>
      </c>
      <c r="M177">
        <v>3.56</v>
      </c>
      <c r="N177">
        <v>3.3</v>
      </c>
      <c r="O177">
        <v>3.5</v>
      </c>
      <c r="P177">
        <v>3.2</v>
      </c>
      <c r="Q177">
        <v>12.9178</v>
      </c>
      <c r="R177">
        <v>233.45599999999999</v>
      </c>
      <c r="S177">
        <v>2.558606205217631</v>
      </c>
      <c r="T177">
        <f t="shared" si="5"/>
        <v>1.1828651721668137</v>
      </c>
      <c r="U177">
        <v>4.404574607704574</v>
      </c>
      <c r="V177">
        <v>5.4529936225216664</v>
      </c>
      <c r="W177">
        <v>3.6070252200347239</v>
      </c>
      <c r="X177">
        <v>0</v>
      </c>
      <c r="Y177">
        <v>0</v>
      </c>
      <c r="Z177">
        <v>99.654300000000006</v>
      </c>
      <c r="AA177">
        <v>1.5388094886002759</v>
      </c>
      <c r="AB177">
        <v>0.08</v>
      </c>
      <c r="AC177">
        <v>-1.666404395</v>
      </c>
      <c r="AD177">
        <v>4.1029999999999998</v>
      </c>
      <c r="AE177">
        <v>0</v>
      </c>
      <c r="AF177">
        <v>0</v>
      </c>
      <c r="AG177">
        <v>0</v>
      </c>
    </row>
    <row r="178" spans="1:33" x14ac:dyDescent="0.25">
      <c r="A178" s="1">
        <v>41518</v>
      </c>
      <c r="B178">
        <v>90.133600000000001</v>
      </c>
      <c r="C178">
        <f t="shared" si="4"/>
        <v>-0.12349999999999284</v>
      </c>
      <c r="D178">
        <v>-3.75</v>
      </c>
      <c r="E178">
        <v>-6.5835371192965999E-3</v>
      </c>
      <c r="F178">
        <v>82.132339999999999</v>
      </c>
      <c r="G178">
        <v>84.864654000000002</v>
      </c>
      <c r="H178">
        <v>3.39</v>
      </c>
      <c r="I178">
        <v>2.52</v>
      </c>
      <c r="J178">
        <v>3.64</v>
      </c>
      <c r="K178">
        <v>3.69</v>
      </c>
      <c r="L178">
        <v>3.23</v>
      </c>
      <c r="M178">
        <v>3.51</v>
      </c>
      <c r="N178">
        <v>3.3</v>
      </c>
      <c r="O178">
        <v>3.5</v>
      </c>
      <c r="P178">
        <v>3.12</v>
      </c>
      <c r="Q178">
        <v>13.075900000000001</v>
      </c>
      <c r="R178">
        <v>233.54400000000001</v>
      </c>
      <c r="S178">
        <v>2.5707708412340669</v>
      </c>
      <c r="T178">
        <f t="shared" si="5"/>
        <v>1.2164636016435804</v>
      </c>
      <c r="U178">
        <v>4.408331848762276</v>
      </c>
      <c r="V178">
        <v>5.453370496187798</v>
      </c>
      <c r="W178">
        <v>3.6158094886595888</v>
      </c>
      <c r="X178">
        <v>-0.20000000000000018</v>
      </c>
      <c r="Y178">
        <v>-31</v>
      </c>
      <c r="Z178">
        <v>100.161</v>
      </c>
      <c r="AA178">
        <v>1.0947341081748048</v>
      </c>
      <c r="AB178">
        <v>0.08</v>
      </c>
      <c r="AC178">
        <v>-1.8023477059999999</v>
      </c>
      <c r="AD178">
        <v>4.093</v>
      </c>
      <c r="AE178">
        <v>-0.20000000000000018</v>
      </c>
      <c r="AF178">
        <v>-3.75</v>
      </c>
      <c r="AG178">
        <v>-2.7065603638692965</v>
      </c>
    </row>
    <row r="179" spans="1:33" x14ac:dyDescent="0.25">
      <c r="A179" s="1">
        <v>41548</v>
      </c>
      <c r="B179">
        <v>90.419600000000003</v>
      </c>
      <c r="C179">
        <f t="shared" si="4"/>
        <v>0.28600000000000136</v>
      </c>
      <c r="D179">
        <v>0.25</v>
      </c>
      <c r="E179">
        <v>-5.27420345809215E-3</v>
      </c>
      <c r="F179">
        <v>82.522987999999998</v>
      </c>
      <c r="G179">
        <v>85.027682999999996</v>
      </c>
      <c r="H179">
        <v>3.36</v>
      </c>
      <c r="I179">
        <v>2.48</v>
      </c>
      <c r="J179">
        <v>3.39</v>
      </c>
      <c r="K179">
        <v>3.7</v>
      </c>
      <c r="L179">
        <v>3.23</v>
      </c>
      <c r="M179">
        <v>3.53</v>
      </c>
      <c r="N179">
        <v>3.31</v>
      </c>
      <c r="O179">
        <v>3.5</v>
      </c>
      <c r="P179">
        <v>3.13</v>
      </c>
      <c r="Q179">
        <v>12.9992</v>
      </c>
      <c r="R179">
        <v>233.66900000000001</v>
      </c>
      <c r="S179">
        <v>2.5648878171064289</v>
      </c>
      <c r="T179">
        <f t="shared" si="5"/>
        <v>-0.58830241276379702</v>
      </c>
      <c r="U179">
        <v>4.4130768969512877</v>
      </c>
      <c r="V179">
        <v>5.453905584051288</v>
      </c>
      <c r="W179">
        <v>3.6057165042064301</v>
      </c>
      <c r="X179">
        <v>-0.19565217391304346</v>
      </c>
      <c r="Y179">
        <v>12</v>
      </c>
      <c r="Z179">
        <v>100.08199999999999</v>
      </c>
      <c r="AA179">
        <v>0.87679914349113963</v>
      </c>
      <c r="AB179">
        <v>0.09</v>
      </c>
      <c r="AC179">
        <v>-1.8521046889999999</v>
      </c>
      <c r="AD179">
        <v>3.8380000000000001</v>
      </c>
      <c r="AE179">
        <v>-0.19565217391304346</v>
      </c>
      <c r="AF179">
        <v>0.25</v>
      </c>
      <c r="AG179">
        <v>0.13796620671869794</v>
      </c>
    </row>
    <row r="180" spans="1:33" x14ac:dyDescent="0.25">
      <c r="A180" s="1">
        <v>41579</v>
      </c>
      <c r="B180">
        <v>90.213499999999996</v>
      </c>
      <c r="C180">
        <f t="shared" si="4"/>
        <v>-0.20610000000000639</v>
      </c>
      <c r="D180">
        <v>0</v>
      </c>
      <c r="E180">
        <v>-9.4173441218261492E-3</v>
      </c>
      <c r="F180">
        <v>83.292265</v>
      </c>
      <c r="G180">
        <v>85.142663999999996</v>
      </c>
      <c r="H180">
        <v>3.62</v>
      </c>
      <c r="I180">
        <v>2.56</v>
      </c>
      <c r="J180">
        <v>3.39</v>
      </c>
      <c r="K180">
        <v>3.78</v>
      </c>
      <c r="L180">
        <v>3.27</v>
      </c>
      <c r="M180">
        <v>3.6</v>
      </c>
      <c r="N180">
        <v>3.2</v>
      </c>
      <c r="O180">
        <v>3.5</v>
      </c>
      <c r="P180">
        <v>3.01</v>
      </c>
      <c r="Q180">
        <v>13.079599999999999</v>
      </c>
      <c r="R180">
        <v>234.1</v>
      </c>
      <c r="S180">
        <v>2.5710537645216882</v>
      </c>
      <c r="T180">
        <f t="shared" si="5"/>
        <v>0.61659474152593319</v>
      </c>
      <c r="U180">
        <v>4.4223556877184489</v>
      </c>
      <c r="V180">
        <v>5.4557483744968653</v>
      </c>
      <c r="W180">
        <v>3.6044464513001042</v>
      </c>
      <c r="X180">
        <v>0</v>
      </c>
      <c r="Y180">
        <v>0</v>
      </c>
      <c r="Z180">
        <v>100.3158</v>
      </c>
      <c r="AA180">
        <v>1.2328701961954427</v>
      </c>
      <c r="AB180">
        <v>0.08</v>
      </c>
      <c r="AC180">
        <v>-1.9989410519999999</v>
      </c>
      <c r="AD180">
        <v>3.9969999999999999</v>
      </c>
      <c r="AE180">
        <v>0</v>
      </c>
      <c r="AF180">
        <v>0</v>
      </c>
      <c r="AG180">
        <v>0</v>
      </c>
    </row>
    <row r="181" spans="1:33" x14ac:dyDescent="0.25">
      <c r="A181" s="1">
        <v>41609</v>
      </c>
      <c r="B181">
        <v>90.754300000000001</v>
      </c>
      <c r="C181">
        <f t="shared" si="4"/>
        <v>0.54080000000000439</v>
      </c>
      <c r="D181">
        <v>0</v>
      </c>
      <c r="E181">
        <v>-5.3060595025078401E-3</v>
      </c>
      <c r="F181">
        <v>83.770058000000006</v>
      </c>
      <c r="G181">
        <v>85.421718999999996</v>
      </c>
      <c r="H181">
        <v>3.97</v>
      </c>
      <c r="I181">
        <v>2.78</v>
      </c>
      <c r="J181">
        <v>3.29</v>
      </c>
      <c r="K181">
        <v>3.9</v>
      </c>
      <c r="L181">
        <v>3.2</v>
      </c>
      <c r="M181">
        <v>3.6</v>
      </c>
      <c r="N181">
        <v>3.18</v>
      </c>
      <c r="O181">
        <v>3.5</v>
      </c>
      <c r="P181">
        <v>3.01</v>
      </c>
      <c r="Q181">
        <v>13.0076</v>
      </c>
      <c r="R181">
        <v>234.71899999999999</v>
      </c>
      <c r="S181">
        <v>2.565533802025151</v>
      </c>
      <c r="T181">
        <f t="shared" si="5"/>
        <v>-0.55199624965371896</v>
      </c>
      <c r="U181">
        <v>4.4280756405374504</v>
      </c>
      <c r="V181">
        <v>5.4583890539902313</v>
      </c>
      <c r="W181">
        <v>3.595847215477932</v>
      </c>
      <c r="X181">
        <v>0</v>
      </c>
      <c r="Y181">
        <v>0</v>
      </c>
      <c r="Z181">
        <v>100.5175</v>
      </c>
      <c r="AA181">
        <v>1.5128383667573404</v>
      </c>
      <c r="AB181">
        <v>0.09</v>
      </c>
      <c r="AC181">
        <v>-2.1332349719999999</v>
      </c>
      <c r="AD181">
        <v>4.1440000000000001</v>
      </c>
      <c r="AE181">
        <v>0</v>
      </c>
      <c r="AF181">
        <v>0</v>
      </c>
      <c r="AG181">
        <v>-6.0604550832258353E-3</v>
      </c>
    </row>
    <row r="182" spans="1:33" x14ac:dyDescent="0.25">
      <c r="A182" s="1">
        <v>41640</v>
      </c>
      <c r="B182">
        <v>90.015199999999993</v>
      </c>
      <c r="C182">
        <f t="shared" si="4"/>
        <v>-0.73910000000000764</v>
      </c>
      <c r="D182">
        <v>0</v>
      </c>
      <c r="E182">
        <v>-1.53543893195982E-2</v>
      </c>
      <c r="F182">
        <v>84.519052000000002</v>
      </c>
      <c r="G182">
        <v>86.149899000000005</v>
      </c>
      <c r="H182">
        <v>4.4800000000000004</v>
      </c>
      <c r="I182">
        <v>3.21</v>
      </c>
      <c r="J182">
        <v>3.14</v>
      </c>
      <c r="K182">
        <v>3.61</v>
      </c>
      <c r="L182">
        <v>3.18</v>
      </c>
      <c r="M182">
        <v>3.5</v>
      </c>
      <c r="N182">
        <v>3.25</v>
      </c>
      <c r="O182">
        <v>3.5</v>
      </c>
      <c r="P182">
        <v>3.01</v>
      </c>
      <c r="Q182">
        <v>13.223000000000001</v>
      </c>
      <c r="R182">
        <v>235.28800000000001</v>
      </c>
      <c r="S182">
        <v>2.5819577375746858</v>
      </c>
      <c r="T182">
        <f t="shared" si="5"/>
        <v>1.6423935549534807</v>
      </c>
      <c r="U182">
        <v>4.4369769764047824</v>
      </c>
      <c r="V182">
        <v>5.4608102957078062</v>
      </c>
      <c r="W182">
        <v>3.6057910568777101</v>
      </c>
      <c r="X182">
        <v>0</v>
      </c>
      <c r="Y182">
        <v>-4</v>
      </c>
      <c r="Z182">
        <v>100.15989999999999</v>
      </c>
      <c r="AA182">
        <v>1.5577587955749157</v>
      </c>
      <c r="AB182">
        <v>7.0000000000000007E-2</v>
      </c>
      <c r="AC182">
        <v>-2.3761232350000001</v>
      </c>
      <c r="AD182">
        <v>4.1029999999999998</v>
      </c>
      <c r="AE182">
        <v>0</v>
      </c>
      <c r="AF182">
        <v>0</v>
      </c>
      <c r="AG182">
        <v>-6.0604550832258353E-3</v>
      </c>
    </row>
    <row r="183" spans="1:33" x14ac:dyDescent="0.25">
      <c r="A183" s="1">
        <v>41671</v>
      </c>
      <c r="B183">
        <v>91.196700000000007</v>
      </c>
      <c r="C183">
        <f t="shared" si="4"/>
        <v>1.181500000000014</v>
      </c>
      <c r="D183">
        <v>0</v>
      </c>
      <c r="E183">
        <v>-4.1916178265628502E-3</v>
      </c>
      <c r="F183">
        <v>84.733157000000006</v>
      </c>
      <c r="G183">
        <v>86.392560000000003</v>
      </c>
      <c r="H183">
        <v>4.2300000000000004</v>
      </c>
      <c r="I183">
        <v>2.98</v>
      </c>
      <c r="J183">
        <v>3.16</v>
      </c>
      <c r="K183">
        <v>3.68</v>
      </c>
      <c r="L183">
        <v>3.09</v>
      </c>
      <c r="M183">
        <v>3.51</v>
      </c>
      <c r="N183">
        <v>3.21</v>
      </c>
      <c r="O183">
        <v>3.5</v>
      </c>
      <c r="P183">
        <v>3.1</v>
      </c>
      <c r="Q183">
        <v>13.280799999999999</v>
      </c>
      <c r="R183">
        <v>235.547</v>
      </c>
      <c r="S183">
        <v>2.5863193831977291</v>
      </c>
      <c r="T183">
        <f t="shared" si="5"/>
        <v>0.43616456230433087</v>
      </c>
      <c r="U183">
        <v>4.4395069890465262</v>
      </c>
      <c r="V183">
        <v>5.4619104689155069</v>
      </c>
      <c r="W183">
        <v>3.6087228630667099</v>
      </c>
      <c r="X183">
        <v>0</v>
      </c>
      <c r="Y183">
        <v>0</v>
      </c>
      <c r="Z183">
        <v>100.91679999999999</v>
      </c>
      <c r="AA183">
        <v>1.1204746347724857</v>
      </c>
      <c r="AB183">
        <v>7.0000000000000007E-2</v>
      </c>
      <c r="AC183">
        <v>-2.5422849740000002</v>
      </c>
      <c r="AD183">
        <v>3.9350000000000001</v>
      </c>
      <c r="AE183">
        <v>0</v>
      </c>
      <c r="AF183">
        <v>0</v>
      </c>
      <c r="AG183">
        <v>0</v>
      </c>
    </row>
    <row r="184" spans="1:33" x14ac:dyDescent="0.25">
      <c r="A184" s="1">
        <v>41699</v>
      </c>
      <c r="B184">
        <v>91.453000000000003</v>
      </c>
      <c r="C184">
        <f t="shared" si="4"/>
        <v>0.25629999999999598</v>
      </c>
      <c r="D184">
        <v>0</v>
      </c>
      <c r="E184">
        <v>-3.2686994906914201E-3</v>
      </c>
      <c r="F184">
        <v>84.965292000000005</v>
      </c>
      <c r="G184">
        <v>86.578119000000001</v>
      </c>
      <c r="H184">
        <v>3.76</v>
      </c>
      <c r="I184">
        <v>2.89</v>
      </c>
      <c r="J184">
        <v>3.17</v>
      </c>
      <c r="K184">
        <v>3.59</v>
      </c>
      <c r="L184">
        <v>3.03</v>
      </c>
      <c r="M184">
        <v>3.5</v>
      </c>
      <c r="N184">
        <v>3.2</v>
      </c>
      <c r="O184">
        <v>3.5</v>
      </c>
      <c r="P184">
        <v>3.11</v>
      </c>
      <c r="Q184">
        <v>13.1951</v>
      </c>
      <c r="R184">
        <v>236.02799999999999</v>
      </c>
      <c r="S184">
        <v>2.5798455485548382</v>
      </c>
      <c r="T184">
        <f t="shared" si="5"/>
        <v>-0.64738346428909743</v>
      </c>
      <c r="U184">
        <v>4.4422428436893968</v>
      </c>
      <c r="V184">
        <v>5.4639504420557561</v>
      </c>
      <c r="W184">
        <v>3.601553146921197</v>
      </c>
      <c r="X184">
        <v>0</v>
      </c>
      <c r="Y184">
        <v>-2.5</v>
      </c>
      <c r="Z184">
        <v>101.8942</v>
      </c>
      <c r="AA184">
        <v>1.6126949139408049</v>
      </c>
      <c r="AB184">
        <v>0.08</v>
      </c>
      <c r="AC184">
        <v>-2.6243868589999999</v>
      </c>
      <c r="AD184">
        <v>3.7930000000000001</v>
      </c>
      <c r="AE184">
        <v>0</v>
      </c>
      <c r="AF184">
        <v>0</v>
      </c>
      <c r="AG184">
        <v>-6.0604550832258353E-3</v>
      </c>
    </row>
    <row r="185" spans="1:33" x14ac:dyDescent="0.25">
      <c r="A185" s="1">
        <v>41730</v>
      </c>
      <c r="B185">
        <v>91.871799999999993</v>
      </c>
      <c r="C185">
        <f t="shared" si="4"/>
        <v>0.41879999999999029</v>
      </c>
      <c r="D185">
        <v>0</v>
      </c>
      <c r="E185">
        <v>-5.8893874399767998E-4</v>
      </c>
      <c r="F185">
        <v>84.806779000000006</v>
      </c>
      <c r="G185">
        <v>86.830087000000006</v>
      </c>
      <c r="H185">
        <v>3.5</v>
      </c>
      <c r="I185">
        <v>3.11</v>
      </c>
      <c r="J185">
        <v>3.23</v>
      </c>
      <c r="K185">
        <v>3.65</v>
      </c>
      <c r="L185">
        <v>3.1</v>
      </c>
      <c r="M185">
        <v>3.5</v>
      </c>
      <c r="N185">
        <v>3.2</v>
      </c>
      <c r="O185">
        <v>3.5</v>
      </c>
      <c r="P185">
        <v>3.12</v>
      </c>
      <c r="Q185">
        <v>13.0708</v>
      </c>
      <c r="R185">
        <v>236.46799999999999</v>
      </c>
      <c r="S185">
        <v>2.5703807346382308</v>
      </c>
      <c r="T185">
        <f t="shared" si="5"/>
        <v>-0.94648139166073619</v>
      </c>
      <c r="U185">
        <v>4.4403754806404789</v>
      </c>
      <c r="V185">
        <v>5.4658128922233189</v>
      </c>
      <c r="W185">
        <v>3.5958181462210712</v>
      </c>
      <c r="X185">
        <v>0</v>
      </c>
      <c r="Y185">
        <v>2</v>
      </c>
      <c r="Z185">
        <v>101.9928</v>
      </c>
      <c r="AA185">
        <v>2.0151253036061694</v>
      </c>
      <c r="AB185">
        <v>0.09</v>
      </c>
      <c r="AC185">
        <v>-2.8917858010000002</v>
      </c>
      <c r="AD185">
        <v>3.5419999999999998</v>
      </c>
      <c r="AE185">
        <v>0</v>
      </c>
      <c r="AF185">
        <v>0</v>
      </c>
      <c r="AG185">
        <v>-6.0604550832258353E-3</v>
      </c>
    </row>
    <row r="186" spans="1:33" x14ac:dyDescent="0.25">
      <c r="A186" s="1">
        <v>41760</v>
      </c>
      <c r="B186">
        <v>92.548400000000001</v>
      </c>
      <c r="C186">
        <f t="shared" si="4"/>
        <v>0.67660000000000764</v>
      </c>
      <c r="D186">
        <v>0</v>
      </c>
      <c r="E186">
        <v>4.8546006740943799E-3</v>
      </c>
      <c r="F186">
        <v>84.535578999999998</v>
      </c>
      <c r="G186">
        <v>86.911555000000007</v>
      </c>
      <c r="H186">
        <v>3.51</v>
      </c>
      <c r="I186">
        <v>3</v>
      </c>
      <c r="J186">
        <v>3.28</v>
      </c>
      <c r="K186">
        <v>3.68</v>
      </c>
      <c r="L186">
        <v>3.09</v>
      </c>
      <c r="M186">
        <v>3.5</v>
      </c>
      <c r="N186">
        <v>3.18</v>
      </c>
      <c r="O186">
        <v>3.41</v>
      </c>
      <c r="P186">
        <v>3.09</v>
      </c>
      <c r="Q186">
        <v>12.9247</v>
      </c>
      <c r="R186">
        <v>236.91800000000001</v>
      </c>
      <c r="S186">
        <v>2.5591402092933961</v>
      </c>
      <c r="T186">
        <f t="shared" si="5"/>
        <v>-1.1240525344834662</v>
      </c>
      <c r="U186">
        <v>4.4371724989995176</v>
      </c>
      <c r="V186">
        <v>5.4677140897050593</v>
      </c>
      <c r="W186">
        <v>3.5896817999989361</v>
      </c>
      <c r="X186">
        <v>0</v>
      </c>
      <c r="Y186">
        <v>0</v>
      </c>
      <c r="Z186">
        <v>102.3836</v>
      </c>
      <c r="AA186">
        <v>2.1669476870798192</v>
      </c>
      <c r="AB186">
        <v>0.09</v>
      </c>
      <c r="AC186">
        <v>-2.9856426699999998</v>
      </c>
      <c r="AD186">
        <v>3.4809999999999999</v>
      </c>
      <c r="AE186">
        <v>0</v>
      </c>
      <c r="AF186">
        <v>0</v>
      </c>
      <c r="AG186">
        <v>0</v>
      </c>
    </row>
    <row r="187" spans="1:33" x14ac:dyDescent="0.25">
      <c r="A187" s="1">
        <v>41791</v>
      </c>
      <c r="B187">
        <v>92.206800000000001</v>
      </c>
      <c r="C187">
        <f t="shared" si="4"/>
        <v>-0.34159999999999968</v>
      </c>
      <c r="D187">
        <v>-8</v>
      </c>
      <c r="E187">
        <v>-7.4146945227582305E-4</v>
      </c>
      <c r="F187">
        <v>84.682072000000005</v>
      </c>
      <c r="G187">
        <v>87.096254000000002</v>
      </c>
      <c r="H187">
        <v>3.75</v>
      </c>
      <c r="I187">
        <v>3.09</v>
      </c>
      <c r="J187">
        <v>3.02</v>
      </c>
      <c r="K187">
        <v>3.61</v>
      </c>
      <c r="L187">
        <v>3.12</v>
      </c>
      <c r="M187">
        <v>3.52</v>
      </c>
      <c r="N187">
        <v>3.14</v>
      </c>
      <c r="O187">
        <v>3.5</v>
      </c>
      <c r="P187">
        <v>3.12</v>
      </c>
      <c r="Q187">
        <v>12.995799999999999</v>
      </c>
      <c r="R187">
        <v>237.23099999999999</v>
      </c>
      <c r="S187">
        <v>2.5646262283378669</v>
      </c>
      <c r="T187">
        <f t="shared" si="5"/>
        <v>0.5486019044470769</v>
      </c>
      <c r="U187">
        <v>4.4389039145549374</v>
      </c>
      <c r="V187">
        <v>5.4690343499838558</v>
      </c>
      <c r="W187">
        <v>3.5947566637667849</v>
      </c>
      <c r="X187">
        <v>-0.40476190476190466</v>
      </c>
      <c r="Y187">
        <v>-45.5</v>
      </c>
      <c r="Z187">
        <v>102.735</v>
      </c>
      <c r="AA187">
        <v>2.0589816945944208</v>
      </c>
      <c r="AB187">
        <v>0.1</v>
      </c>
      <c r="AC187">
        <v>-2.8885815269999999</v>
      </c>
      <c r="AD187">
        <v>3.4449999999999998</v>
      </c>
      <c r="AE187">
        <v>-0.40476190476190466</v>
      </c>
      <c r="AF187">
        <v>-8</v>
      </c>
      <c r="AG187">
        <v>-5.7671269271601764</v>
      </c>
    </row>
    <row r="188" spans="1:33" x14ac:dyDescent="0.25">
      <c r="A188" s="1">
        <v>41821</v>
      </c>
      <c r="B188">
        <v>92.774199999999993</v>
      </c>
      <c r="C188">
        <f t="shared" si="4"/>
        <v>0.56739999999999213</v>
      </c>
      <c r="D188">
        <v>0</v>
      </c>
      <c r="E188">
        <v>3.4913638530866798E-3</v>
      </c>
      <c r="F188">
        <v>84.914958999999996</v>
      </c>
      <c r="G188">
        <v>87.259947999999994</v>
      </c>
      <c r="H188">
        <v>4.07</v>
      </c>
      <c r="I188">
        <v>3.25</v>
      </c>
      <c r="J188">
        <v>2.83</v>
      </c>
      <c r="K188">
        <v>3.61</v>
      </c>
      <c r="L188">
        <v>3.13</v>
      </c>
      <c r="M188">
        <v>3.5</v>
      </c>
      <c r="N188">
        <v>3.16</v>
      </c>
      <c r="O188">
        <v>3.5</v>
      </c>
      <c r="P188">
        <v>3.08</v>
      </c>
      <c r="Q188">
        <v>12.990399999999999</v>
      </c>
      <c r="R188">
        <v>237.49799999999999</v>
      </c>
      <c r="S188">
        <v>2.5642106231260451</v>
      </c>
      <c r="T188">
        <f t="shared" si="5"/>
        <v>-4.1560521182182342E-2</v>
      </c>
      <c r="U188">
        <v>4.4416502733208389</v>
      </c>
      <c r="V188">
        <v>5.4701592023866068</v>
      </c>
      <c r="W188">
        <v>3.5927195521918129</v>
      </c>
      <c r="X188">
        <v>-0.17391304347826075</v>
      </c>
      <c r="Y188">
        <v>1</v>
      </c>
      <c r="Z188">
        <v>102.9632</v>
      </c>
      <c r="AA188">
        <v>1.9742378703306074</v>
      </c>
      <c r="AB188">
        <v>0.09</v>
      </c>
      <c r="AC188">
        <v>-2.8366973830000002</v>
      </c>
      <c r="AD188">
        <v>3.3479999999999999</v>
      </c>
      <c r="AE188">
        <v>-0.17391304347826075</v>
      </c>
      <c r="AF188">
        <v>0</v>
      </c>
      <c r="AG188">
        <v>-6.0604550832258353E-3</v>
      </c>
    </row>
    <row r="189" spans="1:33" x14ac:dyDescent="0.25">
      <c r="A189" s="1">
        <v>41852</v>
      </c>
      <c r="B189">
        <v>92.148799999999994</v>
      </c>
      <c r="C189">
        <f t="shared" si="4"/>
        <v>-0.62539999999999907</v>
      </c>
      <c r="D189">
        <v>0</v>
      </c>
      <c r="E189">
        <v>-5.1776020945766303E-3</v>
      </c>
      <c r="F189">
        <v>85.219965000000002</v>
      </c>
      <c r="G189">
        <v>87.445216000000002</v>
      </c>
      <c r="H189">
        <v>4.1500000000000004</v>
      </c>
      <c r="I189">
        <v>3.37</v>
      </c>
      <c r="J189">
        <v>2.77</v>
      </c>
      <c r="K189">
        <v>3.57</v>
      </c>
      <c r="L189">
        <v>3.18</v>
      </c>
      <c r="M189">
        <v>3.5</v>
      </c>
      <c r="N189">
        <v>3.2</v>
      </c>
      <c r="O189">
        <v>3.46</v>
      </c>
      <c r="P189">
        <v>3.13</v>
      </c>
      <c r="Q189">
        <v>13.140599999999999</v>
      </c>
      <c r="R189">
        <v>237.46</v>
      </c>
      <c r="S189">
        <v>2.5757066741144392</v>
      </c>
      <c r="T189">
        <f t="shared" si="5"/>
        <v>1.1496050988394124</v>
      </c>
      <c r="U189">
        <v>4.445235737369968</v>
      </c>
      <c r="V189">
        <v>5.4699991882376464</v>
      </c>
      <c r="W189">
        <v>3.600470124982118</v>
      </c>
      <c r="X189">
        <v>0</v>
      </c>
      <c r="Y189">
        <v>0</v>
      </c>
      <c r="Z189">
        <v>102.7688</v>
      </c>
      <c r="AA189">
        <v>1.7150983482969036</v>
      </c>
      <c r="AB189">
        <v>0.09</v>
      </c>
      <c r="AC189">
        <v>-2.8925616239999998</v>
      </c>
      <c r="AD189">
        <v>3.3740000000000001</v>
      </c>
      <c r="AE189">
        <v>0</v>
      </c>
      <c r="AF189">
        <v>0</v>
      </c>
      <c r="AG189">
        <v>0</v>
      </c>
    </row>
    <row r="190" spans="1:33" x14ac:dyDescent="0.25">
      <c r="A190" s="1">
        <v>41883</v>
      </c>
      <c r="B190">
        <v>92.359399999999994</v>
      </c>
      <c r="C190">
        <f t="shared" si="4"/>
        <v>0.21059999999999945</v>
      </c>
      <c r="D190">
        <v>0</v>
      </c>
      <c r="E190">
        <v>-4.8027393475029703E-3</v>
      </c>
      <c r="F190">
        <v>85.596339999999998</v>
      </c>
      <c r="G190">
        <v>87.701418000000004</v>
      </c>
      <c r="H190">
        <v>4.22</v>
      </c>
      <c r="I190">
        <v>3.34</v>
      </c>
      <c r="J190">
        <v>2.83</v>
      </c>
      <c r="K190">
        <v>3.54</v>
      </c>
      <c r="L190">
        <v>3.15</v>
      </c>
      <c r="M190">
        <v>3.5</v>
      </c>
      <c r="N190">
        <v>3.2</v>
      </c>
      <c r="O190">
        <v>3.5</v>
      </c>
      <c r="P190">
        <v>3.14</v>
      </c>
      <c r="Q190">
        <v>13.235200000000001</v>
      </c>
      <c r="R190">
        <v>237.477</v>
      </c>
      <c r="S190">
        <v>2.5828799470118091</v>
      </c>
      <c r="T190">
        <f t="shared" si="5"/>
        <v>0.71732728973699089</v>
      </c>
      <c r="U190">
        <v>4.4496425252242444</v>
      </c>
      <c r="V190">
        <v>5.4700707766799326</v>
      </c>
      <c r="W190">
        <v>3.6033081984674991</v>
      </c>
      <c r="X190">
        <v>0</v>
      </c>
      <c r="Y190">
        <v>3</v>
      </c>
      <c r="Z190">
        <v>103.0641</v>
      </c>
      <c r="AA190">
        <v>1.6840509711232112</v>
      </c>
      <c r="AB190">
        <v>0.09</v>
      </c>
      <c r="AC190">
        <v>-2.8051389069999999</v>
      </c>
      <c r="AD190">
        <v>3.4039999999999999</v>
      </c>
      <c r="AE190">
        <v>0</v>
      </c>
      <c r="AF190">
        <v>0</v>
      </c>
      <c r="AG190">
        <v>-6.0604550832258353E-3</v>
      </c>
    </row>
    <row r="191" spans="1:33" x14ac:dyDescent="0.25">
      <c r="A191" s="1">
        <v>41913</v>
      </c>
      <c r="B191">
        <v>93.009900000000002</v>
      </c>
      <c r="C191">
        <f t="shared" si="4"/>
        <v>0.65050000000000807</v>
      </c>
      <c r="D191">
        <v>0.25</v>
      </c>
      <c r="E191">
        <v>3.0544178800440098E-4</v>
      </c>
      <c r="F191">
        <v>86.069626</v>
      </c>
      <c r="G191">
        <v>87.847486000000004</v>
      </c>
      <c r="H191">
        <v>4.3</v>
      </c>
      <c r="I191">
        <v>3.32</v>
      </c>
      <c r="J191">
        <v>2.9</v>
      </c>
      <c r="K191">
        <v>3.55</v>
      </c>
      <c r="L191">
        <v>3.2</v>
      </c>
      <c r="M191">
        <v>3.5</v>
      </c>
      <c r="N191">
        <v>3.2</v>
      </c>
      <c r="O191">
        <v>3.5</v>
      </c>
      <c r="P191">
        <v>3.2</v>
      </c>
      <c r="Q191">
        <v>13.4763</v>
      </c>
      <c r="R191">
        <v>237.43</v>
      </c>
      <c r="S191">
        <v>2.60093258709527</v>
      </c>
      <c r="T191">
        <f t="shared" si="5"/>
        <v>1.8052640083460858</v>
      </c>
      <c r="U191">
        <v>4.455156573351605</v>
      </c>
      <c r="V191">
        <v>5.469872843189151</v>
      </c>
      <c r="W191">
        <v>3.6156488569328151</v>
      </c>
      <c r="X191">
        <v>0</v>
      </c>
      <c r="Y191">
        <v>2</v>
      </c>
      <c r="Z191">
        <v>103.07640000000001</v>
      </c>
      <c r="AA191">
        <v>1.6095417021513319</v>
      </c>
      <c r="AB191">
        <v>0.09</v>
      </c>
      <c r="AC191">
        <v>-2.801709469</v>
      </c>
      <c r="AD191">
        <v>3.3239999999999998</v>
      </c>
      <c r="AE191">
        <v>0</v>
      </c>
      <c r="AF191">
        <v>0.25</v>
      </c>
      <c r="AG191">
        <v>0.12487706369413912</v>
      </c>
    </row>
    <row r="192" spans="1:33" x14ac:dyDescent="0.25">
      <c r="A192" s="1">
        <v>41944</v>
      </c>
      <c r="B192">
        <v>93.156400000000005</v>
      </c>
      <c r="C192">
        <f t="shared" si="4"/>
        <v>0.14650000000000318</v>
      </c>
      <c r="D192">
        <v>0</v>
      </c>
      <c r="E192" s="2">
        <v>-3.2325161526181E-5</v>
      </c>
      <c r="F192">
        <v>86.763778000000002</v>
      </c>
      <c r="G192">
        <v>87.989243000000002</v>
      </c>
      <c r="H192">
        <v>4.17</v>
      </c>
      <c r="I192">
        <v>3.34</v>
      </c>
      <c r="J192">
        <v>2.85</v>
      </c>
      <c r="K192">
        <v>3.53</v>
      </c>
      <c r="L192">
        <v>3.1</v>
      </c>
      <c r="M192">
        <v>3.5</v>
      </c>
      <c r="N192">
        <v>3.2</v>
      </c>
      <c r="O192">
        <v>3.5</v>
      </c>
      <c r="P192">
        <v>3.08</v>
      </c>
      <c r="Q192">
        <v>13.621600000000001</v>
      </c>
      <c r="R192">
        <v>236.983</v>
      </c>
      <c r="S192">
        <v>2.611656768124297</v>
      </c>
      <c r="T192">
        <f t="shared" si="5"/>
        <v>1.0724181029027058</v>
      </c>
      <c r="U192">
        <v>4.4631892304232323</v>
      </c>
      <c r="V192">
        <v>5.4679884086046089</v>
      </c>
      <c r="W192">
        <v>3.616455946305674</v>
      </c>
      <c r="X192">
        <v>0</v>
      </c>
      <c r="Y192">
        <v>0</v>
      </c>
      <c r="Z192">
        <v>103.71259999999999</v>
      </c>
      <c r="AA192">
        <v>1.2315249893208071</v>
      </c>
      <c r="AB192">
        <v>0.09</v>
      </c>
      <c r="AC192">
        <v>-2.7683443169999999</v>
      </c>
      <c r="AD192">
        <v>3.2469999999999999</v>
      </c>
      <c r="AE192">
        <v>0</v>
      </c>
      <c r="AF192">
        <v>0</v>
      </c>
      <c r="AG192">
        <v>0</v>
      </c>
    </row>
    <row r="193" spans="1:33" x14ac:dyDescent="0.25">
      <c r="A193" s="1">
        <v>41974</v>
      </c>
      <c r="B193">
        <v>93.051299999999998</v>
      </c>
      <c r="C193">
        <f t="shared" si="4"/>
        <v>-0.1051000000000073</v>
      </c>
      <c r="D193">
        <v>0.25</v>
      </c>
      <c r="E193">
        <v>-3.0732344042094799E-3</v>
      </c>
      <c r="F193">
        <v>87.188984000000005</v>
      </c>
      <c r="G193">
        <v>88.193498000000005</v>
      </c>
      <c r="H193">
        <v>4.08</v>
      </c>
      <c r="I193">
        <v>3.24</v>
      </c>
      <c r="J193">
        <v>2.81</v>
      </c>
      <c r="K193">
        <v>3.5</v>
      </c>
      <c r="L193">
        <v>3.17</v>
      </c>
      <c r="M193">
        <v>3.5</v>
      </c>
      <c r="N193">
        <v>3.24</v>
      </c>
      <c r="O193">
        <v>3.5</v>
      </c>
      <c r="P193">
        <v>3.2</v>
      </c>
      <c r="Q193">
        <v>14.5129</v>
      </c>
      <c r="R193">
        <v>236.25200000000001</v>
      </c>
      <c r="S193">
        <v>2.67503790909034</v>
      </c>
      <c r="T193">
        <f t="shared" si="5"/>
        <v>6.338114096604297</v>
      </c>
      <c r="U193">
        <v>4.4680779926593637</v>
      </c>
      <c r="V193">
        <v>5.4648990319464854</v>
      </c>
      <c r="W193">
        <v>3.67185894837746</v>
      </c>
      <c r="X193">
        <v>0</v>
      </c>
      <c r="Y193">
        <v>9.5</v>
      </c>
      <c r="Z193">
        <v>103.70440000000001</v>
      </c>
      <c r="AA193">
        <v>0.65312139196231045</v>
      </c>
      <c r="AB193">
        <v>0.12</v>
      </c>
      <c r="AC193">
        <v>-2.4207479269999999</v>
      </c>
      <c r="AD193">
        <v>3.286</v>
      </c>
      <c r="AE193">
        <v>0</v>
      </c>
      <c r="AF193">
        <v>0.25</v>
      </c>
      <c r="AG193">
        <v>0.11918513001972707</v>
      </c>
    </row>
    <row r="194" spans="1:33" x14ac:dyDescent="0.25">
      <c r="A194" s="1">
        <v>42005</v>
      </c>
      <c r="B194">
        <v>93.117599999999996</v>
      </c>
      <c r="C194">
        <f t="shared" si="4"/>
        <v>6.6299999999998249E-2</v>
      </c>
      <c r="D194">
        <v>0</v>
      </c>
      <c r="E194">
        <v>-4.2725451503615704E-3</v>
      </c>
      <c r="F194">
        <v>87.110102999999995</v>
      </c>
      <c r="G194">
        <v>88.164428000000001</v>
      </c>
      <c r="H194">
        <v>3.07</v>
      </c>
      <c r="I194">
        <v>2.34</v>
      </c>
      <c r="J194">
        <v>2.67</v>
      </c>
      <c r="K194">
        <v>3.64</v>
      </c>
      <c r="L194">
        <v>3.25</v>
      </c>
      <c r="M194">
        <v>3.5</v>
      </c>
      <c r="N194">
        <v>3.1</v>
      </c>
      <c r="O194">
        <v>3.5</v>
      </c>
      <c r="P194">
        <v>3.12</v>
      </c>
      <c r="Q194">
        <v>14.692600000000001</v>
      </c>
      <c r="R194">
        <v>234.74700000000001</v>
      </c>
      <c r="S194">
        <v>2.6873439656751432</v>
      </c>
      <c r="T194">
        <f t="shared" si="5"/>
        <v>1.2306056584803216</v>
      </c>
      <c r="U194">
        <v>4.4671728702431421</v>
      </c>
      <c r="V194">
        <v>5.4585083384539974</v>
      </c>
      <c r="W194">
        <v>3.6786794338859972</v>
      </c>
      <c r="X194">
        <v>0</v>
      </c>
      <c r="Y194">
        <v>7</v>
      </c>
      <c r="Z194">
        <v>102.8905</v>
      </c>
      <c r="AA194">
        <v>-0.22993097820543201</v>
      </c>
      <c r="AB194">
        <v>0.11</v>
      </c>
      <c r="AC194">
        <v>-2.2687550070000002</v>
      </c>
      <c r="AD194">
        <v>2.9849999999999999</v>
      </c>
      <c r="AE194">
        <v>0</v>
      </c>
      <c r="AF194">
        <v>0</v>
      </c>
      <c r="AG194">
        <v>-6.0604550832258353E-3</v>
      </c>
    </row>
    <row r="195" spans="1:33" x14ac:dyDescent="0.25">
      <c r="A195" s="1">
        <v>42036</v>
      </c>
      <c r="B195">
        <v>93.471500000000006</v>
      </c>
      <c r="C195">
        <f t="shared" si="4"/>
        <v>0.3539000000000101</v>
      </c>
      <c r="D195">
        <v>0</v>
      </c>
      <c r="E195">
        <v>-2.3891093714150098E-3</v>
      </c>
      <c r="F195">
        <v>87.275377000000006</v>
      </c>
      <c r="G195">
        <v>88.464175999999995</v>
      </c>
      <c r="H195">
        <v>3</v>
      </c>
      <c r="I195">
        <v>2.4</v>
      </c>
      <c r="J195">
        <v>2.81</v>
      </c>
      <c r="K195">
        <v>3.63</v>
      </c>
      <c r="L195">
        <v>3.19</v>
      </c>
      <c r="M195">
        <v>3.45</v>
      </c>
      <c r="N195">
        <v>3.1</v>
      </c>
      <c r="O195">
        <v>3.5</v>
      </c>
      <c r="P195">
        <v>3.05</v>
      </c>
      <c r="Q195">
        <v>14.9213</v>
      </c>
      <c r="R195">
        <v>235.34200000000001</v>
      </c>
      <c r="S195">
        <v>2.7027897223471902</v>
      </c>
      <c r="T195">
        <f t="shared" si="5"/>
        <v>1.5445756672046951</v>
      </c>
      <c r="U195">
        <v>4.4690683726609448</v>
      </c>
      <c r="V195">
        <v>5.4610397753424964</v>
      </c>
      <c r="W195">
        <v>3.69476112502874</v>
      </c>
      <c r="X195">
        <v>0</v>
      </c>
      <c r="Y195">
        <v>0</v>
      </c>
      <c r="Z195">
        <v>102.23350000000001</v>
      </c>
      <c r="AA195">
        <v>-8.7031462935203627E-2</v>
      </c>
      <c r="AB195">
        <v>0.11</v>
      </c>
      <c r="AC195">
        <v>-1.9736477889999999</v>
      </c>
      <c r="AD195">
        <v>2.9790000000000001</v>
      </c>
      <c r="AE195">
        <v>0</v>
      </c>
      <c r="AF195">
        <v>0</v>
      </c>
      <c r="AG195">
        <v>0</v>
      </c>
    </row>
    <row r="196" spans="1:33" x14ac:dyDescent="0.25">
      <c r="A196" s="1">
        <v>42064</v>
      </c>
      <c r="B196">
        <v>93.668199999999999</v>
      </c>
      <c r="C196">
        <f t="shared" ref="C196:C259" si="6">B196-B195</f>
        <v>0.19669999999999277</v>
      </c>
      <c r="D196">
        <v>0</v>
      </c>
      <c r="E196">
        <v>-2.1937917683896302E-3</v>
      </c>
      <c r="F196">
        <v>87.630717000000004</v>
      </c>
      <c r="G196">
        <v>88.696161000000004</v>
      </c>
      <c r="H196">
        <v>3.14</v>
      </c>
      <c r="I196">
        <v>2.4500000000000002</v>
      </c>
      <c r="J196">
        <v>3.04</v>
      </c>
      <c r="K196">
        <v>3.66</v>
      </c>
      <c r="L196">
        <v>3.21</v>
      </c>
      <c r="M196">
        <v>3.5</v>
      </c>
      <c r="N196">
        <v>3.2</v>
      </c>
      <c r="O196">
        <v>3.45</v>
      </c>
      <c r="P196">
        <v>3.1</v>
      </c>
      <c r="Q196">
        <v>15.228300000000001</v>
      </c>
      <c r="R196">
        <v>235.976</v>
      </c>
      <c r="S196">
        <v>2.7231555388778128</v>
      </c>
      <c r="T196">
        <f t="shared" ref="T196:T259" si="7">(S196-S195)*100</f>
        <v>2.0365816530622638</v>
      </c>
      <c r="U196">
        <v>4.4731315871636932</v>
      </c>
      <c r="V196">
        <v>5.463730104939077</v>
      </c>
      <c r="W196">
        <v>3.713754056653197</v>
      </c>
      <c r="X196">
        <v>0</v>
      </c>
      <c r="Y196">
        <v>3.2000000476837158</v>
      </c>
      <c r="Z196">
        <v>101.8914</v>
      </c>
      <c r="AA196">
        <v>-2.2031284423878736E-2</v>
      </c>
      <c r="AB196">
        <v>0.11</v>
      </c>
      <c r="AC196">
        <v>-1.8084450759999999</v>
      </c>
      <c r="AD196">
        <v>2.9980000000000002</v>
      </c>
      <c r="AE196">
        <v>0</v>
      </c>
      <c r="AF196">
        <v>0</v>
      </c>
      <c r="AG196">
        <v>-6.0604550832258353E-3</v>
      </c>
    </row>
    <row r="197" spans="1:33" x14ac:dyDescent="0.25">
      <c r="A197" s="1">
        <v>42095</v>
      </c>
      <c r="B197">
        <v>94.510999999999996</v>
      </c>
      <c r="C197">
        <f t="shared" si="6"/>
        <v>0.84279999999999688</v>
      </c>
      <c r="D197">
        <v>0</v>
      </c>
      <c r="E197">
        <v>4.8615102831091103E-3</v>
      </c>
      <c r="F197">
        <v>87.403840000000002</v>
      </c>
      <c r="G197">
        <v>88.83426</v>
      </c>
      <c r="H197">
        <v>3.06</v>
      </c>
      <c r="I197">
        <v>2.31</v>
      </c>
      <c r="J197">
        <v>2.97</v>
      </c>
      <c r="K197">
        <v>3.77</v>
      </c>
      <c r="L197">
        <v>3.16</v>
      </c>
      <c r="M197">
        <v>3.48</v>
      </c>
      <c r="N197">
        <v>3.1</v>
      </c>
      <c r="O197">
        <v>3.5</v>
      </c>
      <c r="P197">
        <v>3.1</v>
      </c>
      <c r="Q197">
        <v>15.2262</v>
      </c>
      <c r="R197">
        <v>236.22200000000001</v>
      </c>
      <c r="S197">
        <v>2.723017628223996</v>
      </c>
      <c r="T197">
        <f t="shared" si="7"/>
        <v>-1.3791065381685286E-2</v>
      </c>
      <c r="U197">
        <v>4.4705392176231076</v>
      </c>
      <c r="V197">
        <v>5.4647720408314591</v>
      </c>
      <c r="W197">
        <v>3.717250451432347</v>
      </c>
      <c r="X197">
        <v>0</v>
      </c>
      <c r="Y197">
        <v>1</v>
      </c>
      <c r="Z197">
        <v>101.3355</v>
      </c>
      <c r="AA197">
        <v>-0.1040309893939057</v>
      </c>
      <c r="AB197">
        <v>0.12</v>
      </c>
      <c r="AC197">
        <v>-1.5949531619999999</v>
      </c>
      <c r="AD197">
        <v>2.9260000000000002</v>
      </c>
      <c r="AE197">
        <v>0</v>
      </c>
      <c r="AF197">
        <v>0</v>
      </c>
      <c r="AG197">
        <v>-6.0604550832258353E-3</v>
      </c>
    </row>
    <row r="198" spans="1:33" x14ac:dyDescent="0.25">
      <c r="A198" s="1">
        <v>42125</v>
      </c>
      <c r="B198">
        <v>93.849500000000006</v>
      </c>
      <c r="C198">
        <f t="shared" si="6"/>
        <v>-0.66149999999998954</v>
      </c>
      <c r="D198">
        <v>0</v>
      </c>
      <c r="E198">
        <v>-4.0580259422222697E-3</v>
      </c>
      <c r="F198">
        <v>86.967365999999998</v>
      </c>
      <c r="G198">
        <v>88.937106999999997</v>
      </c>
      <c r="H198">
        <v>2.88</v>
      </c>
      <c r="I198">
        <v>2.33</v>
      </c>
      <c r="J198">
        <v>2.98</v>
      </c>
      <c r="K198">
        <v>3.65</v>
      </c>
      <c r="L198">
        <v>3.18</v>
      </c>
      <c r="M198">
        <v>3.46</v>
      </c>
      <c r="N198">
        <v>3.07</v>
      </c>
      <c r="O198">
        <v>3.5</v>
      </c>
      <c r="P198">
        <v>3.05</v>
      </c>
      <c r="Q198">
        <v>15.2645</v>
      </c>
      <c r="R198">
        <v>237.001</v>
      </c>
      <c r="S198">
        <v>2.725529870982855</v>
      </c>
      <c r="T198">
        <f t="shared" si="7"/>
        <v>0.25122427588590845</v>
      </c>
      <c r="U198">
        <v>4.4655329448374106</v>
      </c>
      <c r="V198">
        <v>5.4680643605355126</v>
      </c>
      <c r="W198">
        <v>3.728061286680957</v>
      </c>
      <c r="X198">
        <v>0</v>
      </c>
      <c r="Y198">
        <v>0</v>
      </c>
      <c r="Z198">
        <v>100.8883</v>
      </c>
      <c r="AA198">
        <v>3.5033218244286381E-2</v>
      </c>
      <c r="AB198">
        <v>0.12</v>
      </c>
      <c r="AC198">
        <v>-1.433637115</v>
      </c>
      <c r="AD198">
        <v>3.05</v>
      </c>
      <c r="AE198">
        <v>0</v>
      </c>
      <c r="AF198">
        <v>0</v>
      </c>
      <c r="AG198">
        <v>0</v>
      </c>
    </row>
    <row r="199" spans="1:33" x14ac:dyDescent="0.25">
      <c r="A199" s="1">
        <v>42156</v>
      </c>
      <c r="B199">
        <v>94.295199999999994</v>
      </c>
      <c r="C199">
        <f t="shared" si="6"/>
        <v>0.44569999999998799</v>
      </c>
      <c r="D199">
        <v>0</v>
      </c>
      <c r="E199">
        <v>-1.2080617872705099E-3</v>
      </c>
      <c r="F199">
        <v>87.113107999999997</v>
      </c>
      <c r="G199">
        <v>89.122944000000004</v>
      </c>
      <c r="H199">
        <v>2.87</v>
      </c>
      <c r="I199">
        <v>2.33</v>
      </c>
      <c r="J199">
        <v>2.96</v>
      </c>
      <c r="K199">
        <v>3.68</v>
      </c>
      <c r="L199">
        <v>3.1</v>
      </c>
      <c r="M199">
        <v>3.5</v>
      </c>
      <c r="N199">
        <v>3.2</v>
      </c>
      <c r="O199">
        <v>3.5</v>
      </c>
      <c r="P199">
        <v>3.1</v>
      </c>
      <c r="Q199">
        <v>15.483000000000001</v>
      </c>
      <c r="R199">
        <v>237.65700000000001</v>
      </c>
      <c r="S199">
        <v>2.7397426478346998</v>
      </c>
      <c r="T199">
        <f t="shared" si="7"/>
        <v>1.4212776851844744</v>
      </c>
      <c r="U199">
        <v>4.4672073662208378</v>
      </c>
      <c r="V199">
        <v>5.4708284577072277</v>
      </c>
      <c r="W199">
        <v>3.7433637393210888</v>
      </c>
      <c r="X199">
        <v>0</v>
      </c>
      <c r="Y199">
        <v>-9.1999998092651367</v>
      </c>
      <c r="Z199">
        <v>100.571</v>
      </c>
      <c r="AA199">
        <v>0.17957180975505568</v>
      </c>
      <c r="AB199">
        <v>0.13</v>
      </c>
      <c r="AC199">
        <v>-1.4020279950000001</v>
      </c>
      <c r="AD199">
        <v>3.1890000000000001</v>
      </c>
      <c r="AE199">
        <v>0</v>
      </c>
      <c r="AF199">
        <v>0</v>
      </c>
      <c r="AG199">
        <v>-6.0604550832258353E-3</v>
      </c>
    </row>
    <row r="200" spans="1:33" x14ac:dyDescent="0.25">
      <c r="A200" s="1">
        <v>42186</v>
      </c>
      <c r="B200">
        <v>95.021100000000004</v>
      </c>
      <c r="C200">
        <f t="shared" si="6"/>
        <v>0.72590000000000998</v>
      </c>
      <c r="D200">
        <v>0</v>
      </c>
      <c r="E200">
        <v>4.5822910309265604E-3</v>
      </c>
      <c r="F200">
        <v>87.240819999999999</v>
      </c>
      <c r="G200">
        <v>89.276739000000006</v>
      </c>
      <c r="H200">
        <v>2.74</v>
      </c>
      <c r="I200">
        <v>2.31</v>
      </c>
      <c r="J200">
        <v>2.99</v>
      </c>
      <c r="K200">
        <v>3.68</v>
      </c>
      <c r="L200">
        <v>3.18</v>
      </c>
      <c r="M200">
        <v>3.45</v>
      </c>
      <c r="N200">
        <v>3.08</v>
      </c>
      <c r="O200">
        <v>3.42</v>
      </c>
      <c r="P200">
        <v>3</v>
      </c>
      <c r="Q200">
        <v>15.9396</v>
      </c>
      <c r="R200">
        <v>238.03399999999999</v>
      </c>
      <c r="S200">
        <v>2.768806578944321</v>
      </c>
      <c r="T200">
        <f t="shared" si="7"/>
        <v>2.9063931109621244</v>
      </c>
      <c r="U200">
        <v>4.4686723406473474</v>
      </c>
      <c r="V200">
        <v>5.4724135206112221</v>
      </c>
      <c r="W200">
        <v>3.7725477589081948</v>
      </c>
      <c r="X200">
        <v>0</v>
      </c>
      <c r="Y200">
        <v>-0.5</v>
      </c>
      <c r="Z200">
        <v>101.22280000000001</v>
      </c>
      <c r="AA200">
        <v>0.22568611104093567</v>
      </c>
      <c r="AB200">
        <v>0.13</v>
      </c>
      <c r="AC200">
        <v>-1.2882195080000001</v>
      </c>
      <c r="AD200">
        <v>3.121</v>
      </c>
      <c r="AE200">
        <v>0</v>
      </c>
      <c r="AF200">
        <v>0</v>
      </c>
      <c r="AG200">
        <v>-6.0604550832258353E-3</v>
      </c>
    </row>
    <row r="201" spans="1:33" x14ac:dyDescent="0.25">
      <c r="A201" s="1">
        <v>42217</v>
      </c>
      <c r="B201">
        <v>94.977800000000002</v>
      </c>
      <c r="C201">
        <f t="shared" si="6"/>
        <v>-4.3300000000002115E-2</v>
      </c>
      <c r="D201">
        <v>0</v>
      </c>
      <c r="E201">
        <v>2.2595061246848398E-3</v>
      </c>
      <c r="F201">
        <v>87.424875</v>
      </c>
      <c r="G201">
        <v>89.455995999999999</v>
      </c>
      <c r="H201">
        <v>2.59</v>
      </c>
      <c r="I201">
        <v>2.2999999999999998</v>
      </c>
      <c r="J201">
        <v>3.04</v>
      </c>
      <c r="K201">
        <v>3.81</v>
      </c>
      <c r="L201">
        <v>3.18</v>
      </c>
      <c r="M201">
        <v>3.46</v>
      </c>
      <c r="N201">
        <v>3.2</v>
      </c>
      <c r="O201">
        <v>3.5</v>
      </c>
      <c r="P201">
        <v>3.15</v>
      </c>
      <c r="Q201">
        <v>16.536799999999999</v>
      </c>
      <c r="R201">
        <v>238.03299999999999</v>
      </c>
      <c r="S201">
        <v>2.8055882005028892</v>
      </c>
      <c r="T201">
        <f t="shared" si="7"/>
        <v>3.6781621558568123</v>
      </c>
      <c r="U201">
        <v>4.4707798531514484</v>
      </c>
      <c r="V201">
        <v>5.472409319521879</v>
      </c>
      <c r="W201">
        <v>3.8072176668733211</v>
      </c>
      <c r="X201">
        <v>0</v>
      </c>
      <c r="Y201">
        <v>0</v>
      </c>
      <c r="Z201">
        <v>101.0367</v>
      </c>
      <c r="AA201">
        <v>0.2413037985344812</v>
      </c>
      <c r="AB201">
        <v>0.14000000000000001</v>
      </c>
      <c r="AC201">
        <v>-0.92061742729999996</v>
      </c>
      <c r="AD201">
        <v>3.0329999999999999</v>
      </c>
      <c r="AE201">
        <v>0</v>
      </c>
      <c r="AF201">
        <v>0</v>
      </c>
      <c r="AG201">
        <v>0</v>
      </c>
    </row>
    <row r="202" spans="1:33" x14ac:dyDescent="0.25">
      <c r="A202" s="1">
        <v>42248</v>
      </c>
      <c r="B202">
        <v>96.430700000000002</v>
      </c>
      <c r="C202">
        <f t="shared" si="6"/>
        <v>1.4528999999999996</v>
      </c>
      <c r="D202">
        <v>0</v>
      </c>
      <c r="E202">
        <v>1.55867549313475E-2</v>
      </c>
      <c r="F202">
        <v>87.752419000000003</v>
      </c>
      <c r="G202">
        <v>89.787762000000001</v>
      </c>
      <c r="H202">
        <v>2.52</v>
      </c>
      <c r="I202">
        <v>2.38</v>
      </c>
      <c r="J202">
        <v>3.1</v>
      </c>
      <c r="K202">
        <v>3.73</v>
      </c>
      <c r="L202">
        <v>3.16</v>
      </c>
      <c r="M202">
        <v>3.46</v>
      </c>
      <c r="N202">
        <v>3.2</v>
      </c>
      <c r="O202">
        <v>3.5</v>
      </c>
      <c r="P202">
        <v>3.15</v>
      </c>
      <c r="Q202">
        <v>16.857800000000001</v>
      </c>
      <c r="R202">
        <v>237.49799999999999</v>
      </c>
      <c r="S202">
        <v>2.8248134577013801</v>
      </c>
      <c r="T202">
        <f t="shared" si="7"/>
        <v>1.9225257198490997</v>
      </c>
      <c r="U202">
        <v>4.4745194289175796</v>
      </c>
      <c r="V202">
        <v>5.4701592023866068</v>
      </c>
      <c r="W202">
        <v>3.8204532311704051</v>
      </c>
      <c r="X202">
        <v>0</v>
      </c>
      <c r="Y202">
        <v>1</v>
      </c>
      <c r="Z202">
        <v>100.7547</v>
      </c>
      <c r="AA202">
        <v>8.8429616341736596E-3</v>
      </c>
      <c r="AB202">
        <v>0.14000000000000001</v>
      </c>
      <c r="AC202">
        <v>-0.74207859620000005</v>
      </c>
      <c r="AD202">
        <v>3.1070000000000002</v>
      </c>
      <c r="AE202">
        <v>0</v>
      </c>
      <c r="AF202">
        <v>0</v>
      </c>
      <c r="AG202">
        <v>-6.0604550832258353E-3</v>
      </c>
    </row>
    <row r="203" spans="1:33" x14ac:dyDescent="0.25">
      <c r="A203" s="1">
        <v>42278</v>
      </c>
      <c r="B203">
        <v>95.238299999999995</v>
      </c>
      <c r="C203">
        <f t="shared" si="6"/>
        <v>-1.1924000000000063</v>
      </c>
      <c r="D203">
        <v>0</v>
      </c>
      <c r="E203">
        <v>1.3042398508318299E-3</v>
      </c>
      <c r="F203">
        <v>88.203918999999999</v>
      </c>
      <c r="G203">
        <v>90.013525000000001</v>
      </c>
      <c r="H203">
        <v>2.48</v>
      </c>
      <c r="I203">
        <v>2.4700000000000002</v>
      </c>
      <c r="J203">
        <v>3.02</v>
      </c>
      <c r="K203">
        <v>3.66</v>
      </c>
      <c r="L203">
        <v>3.15</v>
      </c>
      <c r="M203">
        <v>3.4</v>
      </c>
      <c r="N203">
        <v>3.19</v>
      </c>
      <c r="O203">
        <v>3.32</v>
      </c>
      <c r="P203">
        <v>3.1</v>
      </c>
      <c r="Q203">
        <v>16.564</v>
      </c>
      <c r="R203">
        <v>237.733</v>
      </c>
      <c r="S203">
        <v>2.8072316656833212</v>
      </c>
      <c r="T203">
        <f t="shared" si="7"/>
        <v>-1.7581792018058984</v>
      </c>
      <c r="U203">
        <v>4.4796513951322003</v>
      </c>
      <c r="V203">
        <v>5.4711481951886531</v>
      </c>
      <c r="W203">
        <v>3.798728465739774</v>
      </c>
      <c r="X203">
        <v>0</v>
      </c>
      <c r="Y203">
        <v>3.5</v>
      </c>
      <c r="Z203">
        <v>100.2675</v>
      </c>
      <c r="AA203">
        <v>0.12761656067051227</v>
      </c>
      <c r="AB203">
        <v>0.12</v>
      </c>
      <c r="AC203">
        <v>-0.5324050669</v>
      </c>
      <c r="AD203">
        <v>3.0539999999999998</v>
      </c>
      <c r="AE203">
        <v>0</v>
      </c>
      <c r="AF203">
        <v>0</v>
      </c>
      <c r="AG203">
        <v>-6.0604550832258353E-3</v>
      </c>
    </row>
    <row r="204" spans="1:33" x14ac:dyDescent="0.25">
      <c r="A204" s="1">
        <v>42309</v>
      </c>
      <c r="B204">
        <v>94.613699999999994</v>
      </c>
      <c r="C204">
        <f t="shared" si="6"/>
        <v>-0.62460000000000093</v>
      </c>
      <c r="D204">
        <v>0</v>
      </c>
      <c r="E204">
        <v>-7.1013747659618397E-3</v>
      </c>
      <c r="F204">
        <v>88.685468</v>
      </c>
      <c r="G204">
        <v>90.045180999999999</v>
      </c>
      <c r="H204">
        <v>2.21</v>
      </c>
      <c r="I204">
        <v>2.34</v>
      </c>
      <c r="J204">
        <v>3.02</v>
      </c>
      <c r="K204">
        <v>3.42</v>
      </c>
      <c r="L204">
        <v>3.13</v>
      </c>
      <c r="M204">
        <v>3.4</v>
      </c>
      <c r="N204">
        <v>3.21</v>
      </c>
      <c r="O204">
        <v>3.4</v>
      </c>
      <c r="P204">
        <v>3</v>
      </c>
      <c r="Q204">
        <v>16.6357</v>
      </c>
      <c r="R204">
        <v>238.017</v>
      </c>
      <c r="S204">
        <v>2.8115509885370118</v>
      </c>
      <c r="T204">
        <f t="shared" si="7"/>
        <v>0.43193228536906325</v>
      </c>
      <c r="U204">
        <v>4.4850960427479842</v>
      </c>
      <c r="V204">
        <v>5.4723420996920042</v>
      </c>
      <c r="W204">
        <v>3.7987970454810318</v>
      </c>
      <c r="X204">
        <v>0</v>
      </c>
      <c r="Y204">
        <v>0</v>
      </c>
      <c r="Z204">
        <v>99.529799999999994</v>
      </c>
      <c r="AA204">
        <v>0.43631821691850969</v>
      </c>
      <c r="AB204">
        <v>0.12</v>
      </c>
      <c r="AC204">
        <v>-4.9996512230000003E-3</v>
      </c>
      <c r="AD204">
        <v>3.145</v>
      </c>
      <c r="AE204">
        <v>0</v>
      </c>
      <c r="AF204">
        <v>0</v>
      </c>
      <c r="AG204">
        <v>0</v>
      </c>
    </row>
    <row r="205" spans="1:33" x14ac:dyDescent="0.25">
      <c r="A205" s="1">
        <v>42339</v>
      </c>
      <c r="B205">
        <v>94.891800000000003</v>
      </c>
      <c r="C205">
        <f t="shared" si="6"/>
        <v>0.27810000000000912</v>
      </c>
      <c r="D205">
        <v>0</v>
      </c>
      <c r="E205">
        <v>-5.9776150861159403E-3</v>
      </c>
      <c r="F205">
        <v>89.046818000000002</v>
      </c>
      <c r="G205">
        <v>90.320687000000007</v>
      </c>
      <c r="H205">
        <v>2.13</v>
      </c>
      <c r="I205">
        <v>2.41</v>
      </c>
      <c r="J205">
        <v>3.14</v>
      </c>
      <c r="K205">
        <v>3.38</v>
      </c>
      <c r="L205">
        <v>3.2</v>
      </c>
      <c r="M205">
        <v>3.39</v>
      </c>
      <c r="N205">
        <v>3.2</v>
      </c>
      <c r="O205">
        <v>3.4</v>
      </c>
      <c r="P205">
        <v>3</v>
      </c>
      <c r="Q205">
        <v>17.066600000000001</v>
      </c>
      <c r="R205">
        <v>237.761</v>
      </c>
      <c r="S205">
        <v>2.8371233371197229</v>
      </c>
      <c r="T205">
        <f t="shared" si="7"/>
        <v>2.5572348582711069</v>
      </c>
      <c r="U205">
        <v>4.4891622763628227</v>
      </c>
      <c r="V205">
        <v>5.4712659674424877</v>
      </c>
      <c r="W205">
        <v>3.819227028199387</v>
      </c>
      <c r="X205">
        <v>0</v>
      </c>
      <c r="Y205">
        <v>-2</v>
      </c>
      <c r="Z205">
        <v>99.041700000000006</v>
      </c>
      <c r="AA205">
        <v>0.638724751536489</v>
      </c>
      <c r="AB205">
        <v>0.24</v>
      </c>
      <c r="AC205">
        <v>0.2573439334</v>
      </c>
      <c r="AD205">
        <v>2.9489999999999998</v>
      </c>
      <c r="AE205">
        <v>0</v>
      </c>
      <c r="AF205" s="5">
        <v>0</v>
      </c>
      <c r="AG205">
        <v>0</v>
      </c>
    </row>
    <row r="206" spans="1:33" x14ac:dyDescent="0.25">
      <c r="A206" s="1">
        <v>42370</v>
      </c>
      <c r="B206">
        <v>95.057199999999995</v>
      </c>
      <c r="C206">
        <f t="shared" si="6"/>
        <v>0.16539999999999111</v>
      </c>
      <c r="D206">
        <v>0</v>
      </c>
      <c r="E206">
        <v>-6.0322354168116403E-3</v>
      </c>
      <c r="F206">
        <v>89.386381</v>
      </c>
      <c r="G206">
        <v>90.494986999999995</v>
      </c>
      <c r="H206">
        <v>2.61</v>
      </c>
      <c r="I206">
        <v>2.64</v>
      </c>
      <c r="J206">
        <v>3.08</v>
      </c>
      <c r="K206">
        <v>3.23</v>
      </c>
      <c r="L206">
        <v>3.15</v>
      </c>
      <c r="M206">
        <v>3.4</v>
      </c>
      <c r="N206">
        <v>3.1</v>
      </c>
      <c r="O206">
        <v>3.3</v>
      </c>
      <c r="P206">
        <v>3</v>
      </c>
      <c r="Q206">
        <v>18.072800000000001</v>
      </c>
      <c r="R206">
        <v>237.65199999999999</v>
      </c>
      <c r="S206">
        <v>2.8944080455608749</v>
      </c>
      <c r="T206">
        <f t="shared" si="7"/>
        <v>5.7284708441152077</v>
      </c>
      <c r="U206">
        <v>4.4929683327672798</v>
      </c>
      <c r="V206">
        <v>5.4708074187620346</v>
      </c>
      <c r="W206">
        <v>3.8722471315556319</v>
      </c>
      <c r="X206">
        <v>0</v>
      </c>
      <c r="Y206">
        <v>0</v>
      </c>
      <c r="Z206">
        <v>99.560699999999997</v>
      </c>
      <c r="AA206">
        <v>1.2375025026943784</v>
      </c>
      <c r="AB206">
        <v>0.34</v>
      </c>
      <c r="AC206">
        <v>0.40194296730000001</v>
      </c>
      <c r="AD206">
        <v>2.968</v>
      </c>
      <c r="AE206">
        <v>0</v>
      </c>
      <c r="AF206">
        <v>0</v>
      </c>
      <c r="AG206">
        <v>0</v>
      </c>
    </row>
    <row r="207" spans="1:33" x14ac:dyDescent="0.25">
      <c r="A207" s="1">
        <v>42401</v>
      </c>
      <c r="B207">
        <v>95.550899999999999</v>
      </c>
      <c r="C207">
        <f t="shared" si="6"/>
        <v>0.49370000000000402</v>
      </c>
      <c r="D207">
        <v>0</v>
      </c>
      <c r="E207">
        <v>-2.6319486682240302E-3</v>
      </c>
      <c r="F207">
        <v>89.777781000000004</v>
      </c>
      <c r="G207">
        <v>90.819429999999997</v>
      </c>
      <c r="H207">
        <v>2.87</v>
      </c>
      <c r="I207">
        <v>2.66</v>
      </c>
      <c r="J207">
        <v>3.36</v>
      </c>
      <c r="K207">
        <v>3.23</v>
      </c>
      <c r="L207">
        <v>3.05</v>
      </c>
      <c r="M207">
        <v>3.38</v>
      </c>
      <c r="N207">
        <v>3.1</v>
      </c>
      <c r="O207">
        <v>3.3</v>
      </c>
      <c r="P207">
        <v>3</v>
      </c>
      <c r="Q207">
        <v>18.473099999999999</v>
      </c>
      <c r="R207">
        <v>237.33600000000001</v>
      </c>
      <c r="S207">
        <v>2.916315619867754</v>
      </c>
      <c r="T207">
        <f t="shared" si="7"/>
        <v>2.1907574306879063</v>
      </c>
      <c r="U207">
        <v>4.4973375170759642</v>
      </c>
      <c r="V207">
        <v>5.4694768586357991</v>
      </c>
      <c r="W207">
        <v>3.888454961427589</v>
      </c>
      <c r="X207">
        <v>0.22500000000000009</v>
      </c>
      <c r="Y207">
        <v>32</v>
      </c>
      <c r="Z207">
        <v>99.044499999999999</v>
      </c>
      <c r="AA207">
        <v>0.84727757901267076</v>
      </c>
      <c r="AB207">
        <v>0.38</v>
      </c>
      <c r="AC207">
        <v>0.52588358759999998</v>
      </c>
      <c r="AD207">
        <v>2.9910000000000001</v>
      </c>
      <c r="AE207">
        <v>0</v>
      </c>
      <c r="AF207" s="5">
        <v>0</v>
      </c>
      <c r="AG207">
        <v>0</v>
      </c>
    </row>
    <row r="208" spans="1:33" x14ac:dyDescent="0.25">
      <c r="A208" s="1">
        <v>42430</v>
      </c>
      <c r="B208">
        <v>95.095799999999997</v>
      </c>
      <c r="C208">
        <f t="shared" si="6"/>
        <v>-0.45510000000000161</v>
      </c>
      <c r="D208">
        <v>0</v>
      </c>
      <c r="E208">
        <v>-9.1686041438388006E-3</v>
      </c>
      <c r="F208">
        <v>89.910000999999994</v>
      </c>
      <c r="G208">
        <v>91.144750000000002</v>
      </c>
      <c r="H208">
        <v>2.6</v>
      </c>
      <c r="I208">
        <v>2.76</v>
      </c>
      <c r="J208">
        <v>3.8</v>
      </c>
      <c r="K208">
        <v>3.29</v>
      </c>
      <c r="L208">
        <v>3.11</v>
      </c>
      <c r="M208">
        <v>3.3</v>
      </c>
      <c r="N208">
        <v>3.2</v>
      </c>
      <c r="O208">
        <v>3.3</v>
      </c>
      <c r="P208">
        <v>3.17</v>
      </c>
      <c r="Q208">
        <v>17.649000000000001</v>
      </c>
      <c r="R208">
        <v>238.08</v>
      </c>
      <c r="S208">
        <v>2.8706791245504291</v>
      </c>
      <c r="T208">
        <f t="shared" si="7"/>
        <v>-4.5636495317324943</v>
      </c>
      <c r="U208">
        <v>4.498809181118915</v>
      </c>
      <c r="V208">
        <v>5.4726067516447268</v>
      </c>
      <c r="W208">
        <v>3.8444766950762399</v>
      </c>
      <c r="X208">
        <v>0.32500000000000018</v>
      </c>
      <c r="Y208">
        <v>3.5</v>
      </c>
      <c r="Z208">
        <v>98.309600000000003</v>
      </c>
      <c r="AA208">
        <v>0.89161609655219742</v>
      </c>
      <c r="AB208">
        <v>0.36</v>
      </c>
      <c r="AC208">
        <v>0.50653478699999999</v>
      </c>
      <c r="AD208">
        <v>2.996</v>
      </c>
      <c r="AE208">
        <v>0.32500000000000018</v>
      </c>
      <c r="AF208">
        <v>0</v>
      </c>
      <c r="AG208">
        <v>-6.0604550832258353E-3</v>
      </c>
    </row>
    <row r="209" spans="1:33" x14ac:dyDescent="0.25">
      <c r="A209" s="1">
        <v>42461</v>
      </c>
      <c r="B209">
        <v>95.186800000000005</v>
      </c>
      <c r="C209">
        <f t="shared" si="6"/>
        <v>9.1000000000008185E-2</v>
      </c>
      <c r="D209">
        <v>0</v>
      </c>
      <c r="E209">
        <v>-9.9552385845918002E-3</v>
      </c>
      <c r="F209">
        <v>89.625277999999994</v>
      </c>
      <c r="G209">
        <v>91.345752000000005</v>
      </c>
      <c r="H209">
        <v>2.54</v>
      </c>
      <c r="I209">
        <v>2.83</v>
      </c>
      <c r="J209">
        <v>3.74</v>
      </c>
      <c r="K209">
        <v>3.4</v>
      </c>
      <c r="L209">
        <v>3.19</v>
      </c>
      <c r="M209">
        <v>3.3</v>
      </c>
      <c r="N209">
        <v>3.2</v>
      </c>
      <c r="O209">
        <v>3.3</v>
      </c>
      <c r="P209">
        <v>3.17</v>
      </c>
      <c r="Q209">
        <v>17.4877</v>
      </c>
      <c r="R209">
        <v>238.99199999999999</v>
      </c>
      <c r="S209">
        <v>2.86149777666673</v>
      </c>
      <c r="T209">
        <f t="shared" si="7"/>
        <v>-0.91813478836990647</v>
      </c>
      <c r="U209">
        <v>4.4956374007280839</v>
      </c>
      <c r="V209">
        <v>5.4764300785679367</v>
      </c>
      <c r="W209">
        <v>3.8422904545065819</v>
      </c>
      <c r="X209">
        <v>0</v>
      </c>
      <c r="Y209">
        <v>0</v>
      </c>
      <c r="Z209">
        <v>98.642099999999999</v>
      </c>
      <c r="AA209">
        <v>1.1726257503534734</v>
      </c>
      <c r="AB209">
        <v>0.37</v>
      </c>
      <c r="AC209">
        <v>0.40783170940000002</v>
      </c>
      <c r="AD209">
        <v>2.903</v>
      </c>
      <c r="AE209">
        <v>0</v>
      </c>
      <c r="AF209">
        <v>0</v>
      </c>
      <c r="AG209">
        <v>0</v>
      </c>
    </row>
    <row r="210" spans="1:33" x14ac:dyDescent="0.25">
      <c r="A210" s="1">
        <v>42491</v>
      </c>
      <c r="B210">
        <v>95.521799999999999</v>
      </c>
      <c r="C210">
        <f t="shared" si="6"/>
        <v>0.33499999999999375</v>
      </c>
      <c r="D210">
        <v>0</v>
      </c>
      <c r="E210">
        <v>-8.1635814976648308E-3</v>
      </c>
      <c r="F210">
        <v>89.225615000000005</v>
      </c>
      <c r="G210">
        <v>91.540999999999997</v>
      </c>
      <c r="H210">
        <v>2.6</v>
      </c>
      <c r="I210">
        <v>2.93</v>
      </c>
      <c r="J210">
        <v>3.81</v>
      </c>
      <c r="K210">
        <v>3.47</v>
      </c>
      <c r="L210">
        <v>3.24</v>
      </c>
      <c r="M210">
        <v>3.3</v>
      </c>
      <c r="N210">
        <v>3.16</v>
      </c>
      <c r="O210">
        <v>3.3</v>
      </c>
      <c r="P210">
        <v>3.1</v>
      </c>
      <c r="Q210">
        <v>18.154199999999999</v>
      </c>
      <c r="R210">
        <v>239.55699999999999</v>
      </c>
      <c r="S210">
        <v>2.8989019388995398</v>
      </c>
      <c r="T210">
        <f t="shared" si="7"/>
        <v>3.7404162232809846</v>
      </c>
      <c r="U210">
        <v>4.4911681620394974</v>
      </c>
      <c r="V210">
        <v>5.4787913843590914</v>
      </c>
      <c r="W210">
        <v>3.8865251612191352</v>
      </c>
      <c r="X210">
        <v>0</v>
      </c>
      <c r="Y210">
        <v>-2</v>
      </c>
      <c r="Z210">
        <v>98.418400000000005</v>
      </c>
      <c r="AA210">
        <v>1.0784764621246252</v>
      </c>
      <c r="AB210">
        <v>0.37</v>
      </c>
      <c r="AC210">
        <v>0.48417248940000002</v>
      </c>
      <c r="AD210">
        <v>2.9089999999999998</v>
      </c>
      <c r="AE210">
        <v>0</v>
      </c>
      <c r="AF210">
        <v>0</v>
      </c>
      <c r="AG210">
        <v>-6.0604550832258353E-3</v>
      </c>
    </row>
    <row r="211" spans="1:33" x14ac:dyDescent="0.25">
      <c r="A211" s="1">
        <v>42522</v>
      </c>
      <c r="B211">
        <v>95.925700000000006</v>
      </c>
      <c r="C211">
        <f t="shared" si="6"/>
        <v>0.40390000000000725</v>
      </c>
      <c r="D211">
        <v>0</v>
      </c>
      <c r="E211">
        <v>-5.6411803607181498E-3</v>
      </c>
      <c r="F211">
        <v>89.324027999999998</v>
      </c>
      <c r="G211">
        <v>91.773848000000001</v>
      </c>
      <c r="H211">
        <v>2.54</v>
      </c>
      <c r="I211">
        <v>2.97</v>
      </c>
      <c r="J211">
        <v>3.81</v>
      </c>
      <c r="K211">
        <v>3.48</v>
      </c>
      <c r="L211">
        <v>3.19</v>
      </c>
      <c r="M211">
        <v>3.4</v>
      </c>
      <c r="N211">
        <v>3.25</v>
      </c>
      <c r="O211">
        <v>3.3</v>
      </c>
      <c r="P211">
        <v>3.2</v>
      </c>
      <c r="Q211">
        <v>18.652999999999999</v>
      </c>
      <c r="R211">
        <v>240.22200000000001</v>
      </c>
      <c r="S211">
        <v>2.926006991062426</v>
      </c>
      <c r="T211">
        <f t="shared" si="7"/>
        <v>2.7105052162886167</v>
      </c>
      <c r="U211">
        <v>4.4922705222381776</v>
      </c>
      <c r="V211">
        <v>5.4815634957931261</v>
      </c>
      <c r="W211">
        <v>3.9152999646173741</v>
      </c>
      <c r="X211">
        <v>1.1363636363636687E-2</v>
      </c>
      <c r="Y211">
        <v>14.5</v>
      </c>
      <c r="Z211">
        <v>98.883300000000006</v>
      </c>
      <c r="AA211">
        <v>1.0792865347959444</v>
      </c>
      <c r="AB211">
        <v>0.38</v>
      </c>
      <c r="AC211">
        <v>0.41798694159999999</v>
      </c>
      <c r="AD211">
        <v>3.077</v>
      </c>
      <c r="AE211">
        <v>0</v>
      </c>
      <c r="AF211" s="5">
        <v>0</v>
      </c>
      <c r="AG211">
        <v>0</v>
      </c>
    </row>
    <row r="212" spans="1:33" x14ac:dyDescent="0.25">
      <c r="A212" s="1">
        <v>42552</v>
      </c>
      <c r="B212">
        <v>95.831800000000001</v>
      </c>
      <c r="C212">
        <f t="shared" si="6"/>
        <v>-9.3900000000004979E-2</v>
      </c>
      <c r="D212">
        <v>0</v>
      </c>
      <c r="E212">
        <v>-8.2895184122442293E-3</v>
      </c>
      <c r="F212">
        <v>89.556914000000006</v>
      </c>
      <c r="G212">
        <v>91.930522999999994</v>
      </c>
      <c r="H212">
        <v>2.65</v>
      </c>
      <c r="I212">
        <v>2.97</v>
      </c>
      <c r="J212">
        <v>4.21</v>
      </c>
      <c r="K212">
        <v>3.58</v>
      </c>
      <c r="L212">
        <v>3.31</v>
      </c>
      <c r="M212">
        <v>3.36</v>
      </c>
      <c r="N212">
        <v>3.2</v>
      </c>
      <c r="O212">
        <v>3.3</v>
      </c>
      <c r="P212">
        <v>3.19</v>
      </c>
      <c r="Q212">
        <v>18.601400000000002</v>
      </c>
      <c r="R212">
        <v>240.101</v>
      </c>
      <c r="S212">
        <v>2.923236846703805</v>
      </c>
      <c r="T212">
        <f t="shared" si="7"/>
        <v>-0.27701443586209962</v>
      </c>
      <c r="U212">
        <v>4.4948743337898556</v>
      </c>
      <c r="V212">
        <v>5.4810596681498129</v>
      </c>
      <c r="W212">
        <v>3.909422181063761</v>
      </c>
      <c r="X212">
        <v>0.25</v>
      </c>
      <c r="Y212">
        <v>0</v>
      </c>
      <c r="Z212">
        <v>98.999200000000002</v>
      </c>
      <c r="AA212">
        <v>0.86836334305183605</v>
      </c>
      <c r="AB212">
        <v>0.39</v>
      </c>
      <c r="AC212">
        <v>0.47031180299999997</v>
      </c>
      <c r="AD212">
        <v>3.2770000000000001</v>
      </c>
      <c r="AE212">
        <v>0.25</v>
      </c>
      <c r="AF212">
        <v>0</v>
      </c>
      <c r="AG212">
        <v>0</v>
      </c>
    </row>
    <row r="213" spans="1:33" x14ac:dyDescent="0.25">
      <c r="A213" s="1">
        <v>42583</v>
      </c>
      <c r="B213">
        <v>96.139799999999994</v>
      </c>
      <c r="C213">
        <f t="shared" si="6"/>
        <v>0.30799999999999272</v>
      </c>
      <c r="D213">
        <v>-0.5</v>
      </c>
      <c r="E213">
        <v>-6.7176879282531098E-3</v>
      </c>
      <c r="F213">
        <v>89.809332999999995</v>
      </c>
      <c r="G213">
        <v>92.104715999999996</v>
      </c>
      <c r="H213">
        <v>2.73</v>
      </c>
      <c r="I213">
        <v>2.96</v>
      </c>
      <c r="J213">
        <v>4.24</v>
      </c>
      <c r="K213">
        <v>3.49</v>
      </c>
      <c r="L213">
        <v>3.35</v>
      </c>
      <c r="M213">
        <v>3.31</v>
      </c>
      <c r="N213">
        <v>3.2</v>
      </c>
      <c r="O213">
        <v>3.3</v>
      </c>
      <c r="P213">
        <v>3.1</v>
      </c>
      <c r="Q213">
        <v>18.474900000000002</v>
      </c>
      <c r="R213">
        <v>240.54499999999999</v>
      </c>
      <c r="S213">
        <v>2.9164130540997251</v>
      </c>
      <c r="T213">
        <f t="shared" si="7"/>
        <v>-0.68237926040799479</v>
      </c>
      <c r="U213">
        <v>4.4976889008653904</v>
      </c>
      <c r="V213">
        <v>5.4829071822299982</v>
      </c>
      <c r="W213">
        <v>3.9016313354643342</v>
      </c>
      <c r="X213">
        <v>8.6956521739130821E-2</v>
      </c>
      <c r="Y213">
        <v>-6.5</v>
      </c>
      <c r="Z213">
        <v>98.85</v>
      </c>
      <c r="AA213">
        <v>1.0553158595656909</v>
      </c>
      <c r="AB213">
        <v>0.4</v>
      </c>
      <c r="AC213">
        <v>0.44985547930000003</v>
      </c>
      <c r="AD213">
        <v>3.2570000000000001</v>
      </c>
      <c r="AE213">
        <v>8.6956521739130821E-2</v>
      </c>
      <c r="AF213">
        <v>-0.5</v>
      </c>
      <c r="AG213">
        <v>-0.24610105070878407</v>
      </c>
    </row>
    <row r="214" spans="1:33" x14ac:dyDescent="0.25">
      <c r="A214" s="1">
        <v>42614</v>
      </c>
      <c r="B214">
        <v>96.755300000000005</v>
      </c>
      <c r="C214">
        <f t="shared" si="6"/>
        <v>0.61550000000001148</v>
      </c>
      <c r="D214">
        <v>5.5</v>
      </c>
      <c r="E214">
        <v>-1.9364349697141799E-3</v>
      </c>
      <c r="F214">
        <v>90.357743999999997</v>
      </c>
      <c r="G214">
        <v>92.543401000000003</v>
      </c>
      <c r="H214">
        <v>2.97</v>
      </c>
      <c r="I214">
        <v>3.07</v>
      </c>
      <c r="J214">
        <v>4.28</v>
      </c>
      <c r="K214">
        <v>3.46</v>
      </c>
      <c r="L214">
        <v>3.35</v>
      </c>
      <c r="M214">
        <v>3.34</v>
      </c>
      <c r="N214">
        <v>3.2</v>
      </c>
      <c r="O214">
        <v>3.3</v>
      </c>
      <c r="P214">
        <v>3.2</v>
      </c>
      <c r="Q214">
        <v>19.192399999999999</v>
      </c>
      <c r="R214">
        <v>241.17599999999999</v>
      </c>
      <c r="S214">
        <v>2.9545143673377088</v>
      </c>
      <c r="T214">
        <f t="shared" si="7"/>
        <v>3.8101313237983714</v>
      </c>
      <c r="U214">
        <v>4.5037767244886577</v>
      </c>
      <c r="V214">
        <v>5.4855269574147671</v>
      </c>
      <c r="W214">
        <v>3.9362646002638191</v>
      </c>
      <c r="X214">
        <v>0</v>
      </c>
      <c r="Y214">
        <v>13</v>
      </c>
      <c r="Z214">
        <v>98.745699999999999</v>
      </c>
      <c r="AA214">
        <v>1.5486446201652213</v>
      </c>
      <c r="AB214">
        <v>0.4</v>
      </c>
      <c r="AC214">
        <v>0.51028841889999998</v>
      </c>
      <c r="AD214">
        <v>3.2639999999999998</v>
      </c>
      <c r="AE214">
        <v>0</v>
      </c>
      <c r="AF214">
        <v>5.5</v>
      </c>
      <c r="AG214">
        <v>2.5288087926306324</v>
      </c>
    </row>
    <row r="215" spans="1:33" x14ac:dyDescent="0.25">
      <c r="A215" s="1">
        <v>42644</v>
      </c>
      <c r="B215">
        <v>97.000399999999999</v>
      </c>
      <c r="C215">
        <f t="shared" si="6"/>
        <v>0.24509999999999366</v>
      </c>
      <c r="D215">
        <v>0</v>
      </c>
      <c r="E215">
        <v>-9.65439276855662E-4</v>
      </c>
      <c r="F215">
        <v>90.906154000000001</v>
      </c>
      <c r="G215">
        <v>92.802149</v>
      </c>
      <c r="H215">
        <v>3.06</v>
      </c>
      <c r="I215">
        <v>3.1</v>
      </c>
      <c r="J215">
        <v>4.6900000000000004</v>
      </c>
      <c r="K215">
        <v>3.55</v>
      </c>
      <c r="L215">
        <v>3.41</v>
      </c>
      <c r="M215">
        <v>3.41</v>
      </c>
      <c r="N215">
        <v>3.3</v>
      </c>
      <c r="O215">
        <v>3.4</v>
      </c>
      <c r="P215">
        <v>3.2</v>
      </c>
      <c r="Q215">
        <v>18.892399999999999</v>
      </c>
      <c r="R215">
        <v>241.74100000000001</v>
      </c>
      <c r="S215">
        <v>2.938759724793</v>
      </c>
      <c r="T215">
        <f t="shared" si="7"/>
        <v>-1.5754642544708819</v>
      </c>
      <c r="U215">
        <v>4.5098276996619164</v>
      </c>
      <c r="V215">
        <v>5.4878669050985227</v>
      </c>
      <c r="W215">
        <v>3.9167989302296058</v>
      </c>
      <c r="X215">
        <v>0</v>
      </c>
      <c r="Y215">
        <v>0</v>
      </c>
      <c r="Z215">
        <v>98.761099999999999</v>
      </c>
      <c r="AA215">
        <v>1.6859249662436471</v>
      </c>
      <c r="AB215">
        <v>0.4</v>
      </c>
      <c r="AC215">
        <v>0.5227246284</v>
      </c>
      <c r="AD215">
        <v>3.3090000000000002</v>
      </c>
      <c r="AE215">
        <v>0</v>
      </c>
      <c r="AF215">
        <v>0</v>
      </c>
      <c r="AG215">
        <v>0</v>
      </c>
    </row>
    <row r="216" spans="1:33" x14ac:dyDescent="0.25">
      <c r="A216" s="1">
        <v>42675</v>
      </c>
      <c r="B216">
        <v>97.2423</v>
      </c>
      <c r="C216">
        <f t="shared" si="6"/>
        <v>0.24190000000000111</v>
      </c>
      <c r="D216">
        <v>-2</v>
      </c>
      <c r="E216" s="2">
        <v>1.28544583306578E-5</v>
      </c>
      <c r="F216">
        <v>91.616833999999997</v>
      </c>
      <c r="G216">
        <v>93.010424999999998</v>
      </c>
      <c r="H216">
        <v>3.31</v>
      </c>
      <c r="I216">
        <v>3.29</v>
      </c>
      <c r="J216">
        <v>5.15</v>
      </c>
      <c r="K216">
        <v>3.99</v>
      </c>
      <c r="L216">
        <v>3.7</v>
      </c>
      <c r="M216">
        <v>3.54</v>
      </c>
      <c r="N216">
        <v>3.4</v>
      </c>
      <c r="O216">
        <v>3.4</v>
      </c>
      <c r="P216">
        <v>3.3</v>
      </c>
      <c r="Q216">
        <v>20.118500000000001</v>
      </c>
      <c r="R216">
        <v>242.02600000000001</v>
      </c>
      <c r="S216">
        <v>3.0016397897684519</v>
      </c>
      <c r="T216">
        <f t="shared" si="7"/>
        <v>6.2880064975451955</v>
      </c>
      <c r="U216">
        <v>4.5176150320876829</v>
      </c>
      <c r="V216">
        <v>5.4890451584021651</v>
      </c>
      <c r="W216">
        <v>3.973069916082935</v>
      </c>
      <c r="X216">
        <v>0</v>
      </c>
      <c r="Y216">
        <v>-10</v>
      </c>
      <c r="Z216">
        <v>98.349100000000007</v>
      </c>
      <c r="AA216">
        <v>1.6843334719788983</v>
      </c>
      <c r="AB216">
        <v>0.41</v>
      </c>
      <c r="AC216">
        <v>0.4292559004</v>
      </c>
      <c r="AD216">
        <v>3.6749999999999998</v>
      </c>
      <c r="AE216">
        <v>0</v>
      </c>
      <c r="AF216" s="5">
        <v>0</v>
      </c>
      <c r="AG216">
        <v>0</v>
      </c>
    </row>
    <row r="217" spans="1:33" x14ac:dyDescent="0.25">
      <c r="A217" s="1">
        <v>42705</v>
      </c>
      <c r="B217">
        <v>97.717399999999998</v>
      </c>
      <c r="C217">
        <f t="shared" si="6"/>
        <v>0.47509999999999764</v>
      </c>
      <c r="D217">
        <v>4.75</v>
      </c>
      <c r="E217">
        <v>3.42605236514171E-3</v>
      </c>
      <c r="F217">
        <v>92.039034999999998</v>
      </c>
      <c r="G217">
        <v>93.425338999999994</v>
      </c>
      <c r="H217">
        <v>3.36</v>
      </c>
      <c r="I217">
        <v>3.44</v>
      </c>
      <c r="J217">
        <v>5.61</v>
      </c>
      <c r="K217">
        <v>4.13</v>
      </c>
      <c r="L217">
        <v>3.86</v>
      </c>
      <c r="M217">
        <v>3.65</v>
      </c>
      <c r="N217">
        <v>3.5</v>
      </c>
      <c r="O217">
        <v>3.45</v>
      </c>
      <c r="P217">
        <v>3.35</v>
      </c>
      <c r="Q217">
        <v>20.520600000000002</v>
      </c>
      <c r="R217">
        <v>242.637</v>
      </c>
      <c r="S217">
        <v>3.0214292596411769</v>
      </c>
      <c r="T217">
        <f t="shared" si="7"/>
        <v>1.9789469872725007</v>
      </c>
      <c r="U217">
        <v>4.5222127805402774</v>
      </c>
      <c r="V217">
        <v>5.4915664993078472</v>
      </c>
      <c r="W217">
        <v>3.9907829784087481</v>
      </c>
      <c r="X217">
        <v>0.14285714285714235</v>
      </c>
      <c r="Y217">
        <v>7.5</v>
      </c>
      <c r="Z217">
        <v>99.0214</v>
      </c>
      <c r="AA217">
        <v>2.0507989115119822</v>
      </c>
      <c r="AB217">
        <v>0.54</v>
      </c>
      <c r="AC217">
        <v>0.42215616410000001</v>
      </c>
      <c r="AD217">
        <v>4.1559999999999997</v>
      </c>
      <c r="AE217">
        <v>0.14285714285714235</v>
      </c>
      <c r="AF217">
        <v>4.75</v>
      </c>
      <c r="AG217">
        <v>2.373513484809326</v>
      </c>
    </row>
    <row r="218" spans="1:33" x14ac:dyDescent="0.25">
      <c r="A218" s="1">
        <v>42736</v>
      </c>
      <c r="B218">
        <v>98.006699999999995</v>
      </c>
      <c r="C218">
        <f t="shared" si="6"/>
        <v>0.28929999999999723</v>
      </c>
      <c r="D218">
        <v>0</v>
      </c>
      <c r="E218">
        <v>4.9785596054263701E-3</v>
      </c>
      <c r="F218">
        <v>93.603881999999999</v>
      </c>
      <c r="G218">
        <v>93.966137000000003</v>
      </c>
      <c r="H218">
        <v>4.72</v>
      </c>
      <c r="I218">
        <v>3.84</v>
      </c>
      <c r="J218">
        <v>5.83</v>
      </c>
      <c r="K218">
        <v>4.1399999999999997</v>
      </c>
      <c r="L218">
        <v>4</v>
      </c>
      <c r="M218">
        <v>3.6</v>
      </c>
      <c r="N218">
        <v>3.4</v>
      </c>
      <c r="O218">
        <v>3.5</v>
      </c>
      <c r="P218">
        <v>3.33</v>
      </c>
      <c r="Q218">
        <v>21.385300000000001</v>
      </c>
      <c r="R218">
        <v>243.61799999999999</v>
      </c>
      <c r="S218">
        <v>3.0627037701051401</v>
      </c>
      <c r="T218">
        <f t="shared" si="7"/>
        <v>4.1274510463963132</v>
      </c>
      <c r="U218">
        <v>4.5390718569824831</v>
      </c>
      <c r="V218">
        <v>5.4956014247315057</v>
      </c>
      <c r="W218">
        <v>4.0192333378541623</v>
      </c>
      <c r="X218">
        <v>0.25</v>
      </c>
      <c r="Y218">
        <v>0</v>
      </c>
      <c r="Z218">
        <v>98.761099999999999</v>
      </c>
      <c r="AA218">
        <v>2.5103933482571188</v>
      </c>
      <c r="AB218">
        <v>0.65</v>
      </c>
      <c r="AC218">
        <v>0.37916019960000003</v>
      </c>
      <c r="AD218">
        <v>4.5220000000000002</v>
      </c>
      <c r="AE218">
        <v>0.25</v>
      </c>
      <c r="AF218">
        <v>0</v>
      </c>
      <c r="AG218">
        <v>0</v>
      </c>
    </row>
    <row r="219" spans="1:33" x14ac:dyDescent="0.25">
      <c r="A219" s="1">
        <v>42767</v>
      </c>
      <c r="B219">
        <v>97.546199999999999</v>
      </c>
      <c r="C219">
        <f t="shared" si="6"/>
        <v>-0.46049999999999613</v>
      </c>
      <c r="D219">
        <v>0</v>
      </c>
      <c r="E219">
        <v>-1.07298868489725E-3</v>
      </c>
      <c r="F219">
        <v>94.144779999999997</v>
      </c>
      <c r="G219">
        <v>94.684254999999993</v>
      </c>
      <c r="H219">
        <v>4.8600000000000003</v>
      </c>
      <c r="I219">
        <v>4.26</v>
      </c>
      <c r="J219">
        <v>6.06</v>
      </c>
      <c r="K219">
        <v>3.98</v>
      </c>
      <c r="L219">
        <v>3.92</v>
      </c>
      <c r="M219">
        <v>3.6</v>
      </c>
      <c r="N219">
        <v>3.4</v>
      </c>
      <c r="O219">
        <v>3.5</v>
      </c>
      <c r="P219">
        <v>3.33</v>
      </c>
      <c r="Q219">
        <v>20.290500000000002</v>
      </c>
      <c r="R219">
        <v>244.006</v>
      </c>
      <c r="S219">
        <v>3.010152796215221</v>
      </c>
      <c r="T219">
        <f t="shared" si="7"/>
        <v>-5.2550973889919028</v>
      </c>
      <c r="U219">
        <v>4.5448338101247998</v>
      </c>
      <c r="V219">
        <v>5.4971928151548033</v>
      </c>
      <c r="W219">
        <v>3.9625118012452241</v>
      </c>
      <c r="X219">
        <v>6.578947368421062E-2</v>
      </c>
      <c r="Y219">
        <v>16</v>
      </c>
      <c r="Z219">
        <v>98.364599999999996</v>
      </c>
      <c r="AA219">
        <v>2.8103616813294181</v>
      </c>
      <c r="AB219">
        <v>0.66</v>
      </c>
      <c r="AC219">
        <v>0.39106558800000002</v>
      </c>
      <c r="AD219">
        <v>4.1390000000000002</v>
      </c>
      <c r="AE219">
        <v>0</v>
      </c>
      <c r="AF219">
        <v>1.5</v>
      </c>
      <c r="AG219">
        <v>0.71407285392639297</v>
      </c>
    </row>
    <row r="220" spans="1:33" x14ac:dyDescent="0.25">
      <c r="A220" s="1">
        <v>42795</v>
      </c>
      <c r="B220">
        <v>97.873800000000003</v>
      </c>
      <c r="C220">
        <f t="shared" si="6"/>
        <v>0.32760000000000389</v>
      </c>
      <c r="D220">
        <v>-1.5</v>
      </c>
      <c r="E220">
        <v>1.00444933601107E-3</v>
      </c>
      <c r="F220">
        <v>94.722488999999996</v>
      </c>
      <c r="G220">
        <v>95.226518999999996</v>
      </c>
      <c r="H220">
        <v>5.35</v>
      </c>
      <c r="I220">
        <v>4.4800000000000004</v>
      </c>
      <c r="J220">
        <v>6.32</v>
      </c>
      <c r="K220">
        <v>3.99</v>
      </c>
      <c r="L220">
        <v>3.94</v>
      </c>
      <c r="M220">
        <v>3.5</v>
      </c>
      <c r="N220">
        <v>3.4</v>
      </c>
      <c r="O220">
        <v>3.5</v>
      </c>
      <c r="P220">
        <v>3.29</v>
      </c>
      <c r="Q220">
        <v>19.300999999999998</v>
      </c>
      <c r="R220">
        <v>243.892</v>
      </c>
      <c r="S220">
        <v>2.9601569080400711</v>
      </c>
      <c r="T220">
        <f t="shared" si="7"/>
        <v>-4.9995888175149883</v>
      </c>
      <c r="U220">
        <v>4.5509514482397737</v>
      </c>
      <c r="V220">
        <v>5.4967255043559291</v>
      </c>
      <c r="W220">
        <v>3.905930964156227</v>
      </c>
      <c r="X220">
        <v>0</v>
      </c>
      <c r="Y220">
        <v>-5</v>
      </c>
      <c r="Z220">
        <v>99.0137</v>
      </c>
      <c r="AA220">
        <v>2.4411962365591329</v>
      </c>
      <c r="AB220">
        <v>0.79</v>
      </c>
      <c r="AC220">
        <v>0.63601815530000005</v>
      </c>
      <c r="AD220">
        <v>3.9</v>
      </c>
      <c r="AE220">
        <v>0</v>
      </c>
      <c r="AF220">
        <v>-1.5</v>
      </c>
      <c r="AG220">
        <v>-0.79166252348152721</v>
      </c>
    </row>
    <row r="221" spans="1:33" x14ac:dyDescent="0.25">
      <c r="A221" s="1">
        <v>42826</v>
      </c>
      <c r="B221">
        <v>97.848699999999994</v>
      </c>
      <c r="C221">
        <f t="shared" si="6"/>
        <v>-2.5100000000009004E-2</v>
      </c>
      <c r="D221">
        <v>0</v>
      </c>
      <c r="E221">
        <v>-4.5624041181824298E-4</v>
      </c>
      <c r="F221">
        <v>94.838932999999997</v>
      </c>
      <c r="G221">
        <v>95.654829000000007</v>
      </c>
      <c r="H221">
        <v>5.82</v>
      </c>
      <c r="I221">
        <v>4.72</v>
      </c>
      <c r="J221">
        <v>6.5</v>
      </c>
      <c r="K221">
        <v>3.82</v>
      </c>
      <c r="L221">
        <v>3.86</v>
      </c>
      <c r="M221">
        <v>3.5</v>
      </c>
      <c r="N221">
        <v>3.4</v>
      </c>
      <c r="O221">
        <v>3.4</v>
      </c>
      <c r="P221">
        <v>3.3</v>
      </c>
      <c r="Q221">
        <v>18.787500000000001</v>
      </c>
      <c r="R221">
        <v>244.19300000000001</v>
      </c>
      <c r="S221">
        <v>2.9331917550790929</v>
      </c>
      <c r="T221">
        <f t="shared" si="7"/>
        <v>-2.6965152960978234</v>
      </c>
      <c r="U221">
        <v>4.5521800106067136</v>
      </c>
      <c r="V221">
        <v>5.4979588962370904</v>
      </c>
      <c r="W221">
        <v>3.878970640709468</v>
      </c>
      <c r="X221">
        <v>0</v>
      </c>
      <c r="Y221">
        <v>0</v>
      </c>
      <c r="Z221">
        <v>100.0224</v>
      </c>
      <c r="AA221">
        <v>2.176223471915387</v>
      </c>
      <c r="AB221">
        <v>0.9</v>
      </c>
      <c r="AC221">
        <v>0.8463595947</v>
      </c>
      <c r="AD221">
        <v>3.8069999999999999</v>
      </c>
      <c r="AE221">
        <v>0</v>
      </c>
      <c r="AF221">
        <v>0</v>
      </c>
      <c r="AG221">
        <v>0</v>
      </c>
    </row>
    <row r="222" spans="1:33" x14ac:dyDescent="0.25">
      <c r="A222" s="1">
        <v>42856</v>
      </c>
      <c r="B222">
        <v>97.647999999999996</v>
      </c>
      <c r="C222">
        <f t="shared" si="6"/>
        <v>-0.20069999999999766</v>
      </c>
      <c r="D222">
        <v>4</v>
      </c>
      <c r="E222">
        <v>-3.6379402448680799E-3</v>
      </c>
      <c r="F222">
        <v>94.725493999999998</v>
      </c>
      <c r="G222">
        <v>95.918104</v>
      </c>
      <c r="H222">
        <v>6.16</v>
      </c>
      <c r="I222">
        <v>4.78</v>
      </c>
      <c r="J222">
        <v>6.56</v>
      </c>
      <c r="K222">
        <v>3.81</v>
      </c>
      <c r="L222">
        <v>3.8</v>
      </c>
      <c r="M222">
        <v>3.5</v>
      </c>
      <c r="N222">
        <v>3.4</v>
      </c>
      <c r="O222">
        <v>3.45</v>
      </c>
      <c r="P222">
        <v>3.33</v>
      </c>
      <c r="Q222">
        <v>18.755700000000001</v>
      </c>
      <c r="R222">
        <v>244.00399999999999</v>
      </c>
      <c r="S222">
        <v>2.9314977062177832</v>
      </c>
      <c r="T222">
        <f t="shared" si="7"/>
        <v>-0.16940488613097493</v>
      </c>
      <c r="U222">
        <v>4.5509831719873972</v>
      </c>
      <c r="V222">
        <v>5.4971846186014526</v>
      </c>
      <c r="W222">
        <v>3.877699152831839</v>
      </c>
      <c r="X222">
        <v>0.11363636363636331</v>
      </c>
      <c r="Y222">
        <v>13</v>
      </c>
      <c r="Z222">
        <v>100.1408</v>
      </c>
      <c r="AA222">
        <v>1.8563431667619825</v>
      </c>
      <c r="AB222">
        <v>0.91</v>
      </c>
      <c r="AC222">
        <v>1.029010671</v>
      </c>
      <c r="AD222">
        <v>3.9630000000000001</v>
      </c>
      <c r="AE222">
        <v>0.11363636363636331</v>
      </c>
      <c r="AF222">
        <v>4</v>
      </c>
      <c r="AG222">
        <v>1.7009204963272864</v>
      </c>
    </row>
    <row r="223" spans="1:33" x14ac:dyDescent="0.25">
      <c r="A223" s="1">
        <v>42887</v>
      </c>
      <c r="B223">
        <v>98.155699999999996</v>
      </c>
      <c r="C223">
        <f t="shared" si="6"/>
        <v>0.50769999999999982</v>
      </c>
      <c r="D223">
        <v>0</v>
      </c>
      <c r="E223">
        <v>4.9977521303379302E-4</v>
      </c>
      <c r="F223">
        <v>94.963639999999998</v>
      </c>
      <c r="G223">
        <v>96.210052000000005</v>
      </c>
      <c r="H223">
        <v>6.31</v>
      </c>
      <c r="I223">
        <v>4.83</v>
      </c>
      <c r="J223">
        <v>6.82</v>
      </c>
      <c r="K223">
        <v>3.8</v>
      </c>
      <c r="L223">
        <v>3.7</v>
      </c>
      <c r="M223">
        <v>3.5</v>
      </c>
      <c r="N223">
        <v>3.4</v>
      </c>
      <c r="O223">
        <v>3.4</v>
      </c>
      <c r="P223">
        <v>3.3</v>
      </c>
      <c r="Q223">
        <v>18.1326</v>
      </c>
      <c r="R223">
        <v>244.16300000000001</v>
      </c>
      <c r="S223">
        <v>2.8977114231995502</v>
      </c>
      <c r="T223">
        <f t="shared" si="7"/>
        <v>-3.3786283018232943</v>
      </c>
      <c r="U223">
        <v>4.5534940814959963</v>
      </c>
      <c r="V223">
        <v>5.4978360350455091</v>
      </c>
      <c r="W223">
        <v>3.8420533767490621</v>
      </c>
      <c r="X223">
        <v>0.17045454545454497</v>
      </c>
      <c r="Y223">
        <v>-18.5</v>
      </c>
      <c r="Z223">
        <v>100.3471</v>
      </c>
      <c r="AA223">
        <v>1.640565809959122</v>
      </c>
      <c r="AB223">
        <v>1.04</v>
      </c>
      <c r="AC223">
        <v>1.0561832920000001</v>
      </c>
      <c r="AD223">
        <v>3.8079999999999998</v>
      </c>
      <c r="AE223">
        <v>0.17045454545454497</v>
      </c>
      <c r="AF223" s="5">
        <v>0</v>
      </c>
      <c r="AG223">
        <v>0</v>
      </c>
    </row>
    <row r="224" spans="1:33" x14ac:dyDescent="0.25">
      <c r="A224" s="1">
        <v>42917</v>
      </c>
      <c r="B224">
        <v>97.293999999999997</v>
      </c>
      <c r="C224">
        <f t="shared" si="6"/>
        <v>-0.86169999999999902</v>
      </c>
      <c r="D224">
        <v>0</v>
      </c>
      <c r="E224">
        <v>-9.2807512770143302E-3</v>
      </c>
      <c r="F224">
        <v>95.322736000000006</v>
      </c>
      <c r="G224">
        <v>96.467770000000002</v>
      </c>
      <c r="H224">
        <v>6.44</v>
      </c>
      <c r="I224">
        <v>4.9400000000000004</v>
      </c>
      <c r="J224">
        <v>6.99</v>
      </c>
      <c r="K224">
        <v>3.92</v>
      </c>
      <c r="L224">
        <v>3.79</v>
      </c>
      <c r="M224">
        <v>3.51</v>
      </c>
      <c r="N224">
        <v>3.38</v>
      </c>
      <c r="O224">
        <v>3.4</v>
      </c>
      <c r="P224">
        <v>3.3</v>
      </c>
      <c r="Q224">
        <v>17.828299999999999</v>
      </c>
      <c r="R224">
        <v>244.24299999999999</v>
      </c>
      <c r="S224">
        <v>2.8807870824051478</v>
      </c>
      <c r="T224">
        <f t="shared" si="7"/>
        <v>-1.6924340794402415</v>
      </c>
      <c r="U224">
        <v>4.5572683551337576</v>
      </c>
      <c r="V224">
        <v>5.4981636313515141</v>
      </c>
      <c r="W224">
        <v>3.8216823586229038</v>
      </c>
      <c r="X224">
        <v>0</v>
      </c>
      <c r="Y224">
        <v>0</v>
      </c>
      <c r="Z224">
        <v>100.10680000000001</v>
      </c>
      <c r="AA224">
        <v>1.7251073506565968</v>
      </c>
      <c r="AB224">
        <v>1.1499999999999999</v>
      </c>
      <c r="AC224">
        <v>1.0796696059999999</v>
      </c>
      <c r="AD224">
        <v>3.7170000000000001</v>
      </c>
      <c r="AE224">
        <v>0</v>
      </c>
      <c r="AF224">
        <v>0</v>
      </c>
      <c r="AG224">
        <v>0</v>
      </c>
    </row>
    <row r="225" spans="1:33" x14ac:dyDescent="0.25">
      <c r="A225" s="1">
        <v>42948</v>
      </c>
      <c r="B225">
        <v>98.332800000000006</v>
      </c>
      <c r="C225">
        <f t="shared" si="6"/>
        <v>1.038800000000009</v>
      </c>
      <c r="D225">
        <v>0</v>
      </c>
      <c r="E225">
        <v>4.6680829734313501E-4</v>
      </c>
      <c r="F225">
        <v>95.793768</v>
      </c>
      <c r="G225">
        <v>96.712676999999999</v>
      </c>
      <c r="H225">
        <v>6.66</v>
      </c>
      <c r="I225">
        <v>5</v>
      </c>
      <c r="J225">
        <v>6.94</v>
      </c>
      <c r="K225">
        <v>3.82</v>
      </c>
      <c r="L225">
        <v>3.69</v>
      </c>
      <c r="M225">
        <v>3.5</v>
      </c>
      <c r="N225">
        <v>3.3</v>
      </c>
      <c r="O225">
        <v>3.4</v>
      </c>
      <c r="P225">
        <v>3.3</v>
      </c>
      <c r="Q225">
        <v>17.806999999999999</v>
      </c>
      <c r="R225">
        <v>245.18299999999999</v>
      </c>
      <c r="S225">
        <v>2.8795916384191771</v>
      </c>
      <c r="T225">
        <f t="shared" si="7"/>
        <v>-0.11954439859707122</v>
      </c>
      <c r="U225">
        <v>4.5621976306687628</v>
      </c>
      <c r="V225">
        <v>5.5020048705003024</v>
      </c>
      <c r="W225">
        <v>3.8193988782507158</v>
      </c>
      <c r="X225">
        <v>0</v>
      </c>
      <c r="Y225">
        <v>-7</v>
      </c>
      <c r="Z225">
        <v>99.692499999999995</v>
      </c>
      <c r="AA225">
        <v>1.9281215572969739</v>
      </c>
      <c r="AB225">
        <v>1.1599999999999999</v>
      </c>
      <c r="AC225">
        <v>1.1063002019999999</v>
      </c>
      <c r="AD225">
        <v>3.742</v>
      </c>
      <c r="AE225">
        <v>0</v>
      </c>
      <c r="AF225">
        <v>0</v>
      </c>
      <c r="AG225">
        <v>-6.0604550832258353E-3</v>
      </c>
    </row>
    <row r="226" spans="1:33" x14ac:dyDescent="0.25">
      <c r="A226" s="1">
        <v>42979</v>
      </c>
      <c r="B226">
        <v>97.153300000000002</v>
      </c>
      <c r="C226">
        <f t="shared" si="6"/>
        <v>-1.1795000000000044</v>
      </c>
      <c r="D226">
        <v>0</v>
      </c>
      <c r="E226">
        <v>-1.23778697560519E-2</v>
      </c>
      <c r="F226">
        <v>96.093514999999996</v>
      </c>
      <c r="G226">
        <v>96.985622000000006</v>
      </c>
      <c r="H226">
        <v>6.35</v>
      </c>
      <c r="I226">
        <v>4.8</v>
      </c>
      <c r="J226">
        <v>6.99</v>
      </c>
      <c r="K226">
        <v>3.81</v>
      </c>
      <c r="L226">
        <v>3.7</v>
      </c>
      <c r="M226">
        <v>3.5</v>
      </c>
      <c r="N226">
        <v>3.4</v>
      </c>
      <c r="O226">
        <v>3.45</v>
      </c>
      <c r="P226">
        <v>3.3</v>
      </c>
      <c r="Q226">
        <v>17.835699999999999</v>
      </c>
      <c r="R226">
        <v>246.435</v>
      </c>
      <c r="S226">
        <v>2.8812020667089948</v>
      </c>
      <c r="T226">
        <f t="shared" si="7"/>
        <v>0.16104282898177225</v>
      </c>
      <c r="U226">
        <v>4.5653218319094462</v>
      </c>
      <c r="V226">
        <v>5.5070982670264099</v>
      </c>
      <c r="W226">
        <v>3.822978501825959</v>
      </c>
      <c r="X226">
        <v>0</v>
      </c>
      <c r="Y226">
        <v>2</v>
      </c>
      <c r="Z226">
        <v>99.795400000000001</v>
      </c>
      <c r="AA226">
        <v>2.1805652303711875</v>
      </c>
      <c r="AB226">
        <v>1.1499999999999999</v>
      </c>
      <c r="AC226">
        <v>1.1045355910000001</v>
      </c>
      <c r="AD226">
        <v>3.72</v>
      </c>
      <c r="AE226">
        <v>0</v>
      </c>
      <c r="AF226">
        <v>0</v>
      </c>
      <c r="AG226">
        <v>-6.0604550832258353E-3</v>
      </c>
    </row>
    <row r="227" spans="1:33" x14ac:dyDescent="0.25">
      <c r="A227" s="1">
        <v>43009</v>
      </c>
      <c r="B227">
        <v>98.468100000000007</v>
      </c>
      <c r="C227">
        <f t="shared" si="6"/>
        <v>1.3148000000000053</v>
      </c>
      <c r="D227">
        <v>0</v>
      </c>
      <c r="E227">
        <v>3.88490595552682E-4</v>
      </c>
      <c r="F227">
        <v>96.698268999999996</v>
      </c>
      <c r="G227">
        <v>97.230484000000004</v>
      </c>
      <c r="H227">
        <v>6.37</v>
      </c>
      <c r="I227">
        <v>4.7699999999999996</v>
      </c>
      <c r="J227">
        <v>7.03</v>
      </c>
      <c r="K227">
        <v>3.85</v>
      </c>
      <c r="L227">
        <v>3.69</v>
      </c>
      <c r="M227">
        <v>3.5</v>
      </c>
      <c r="N227">
        <v>3.35</v>
      </c>
      <c r="O227">
        <v>3.3</v>
      </c>
      <c r="P227">
        <v>3.25</v>
      </c>
      <c r="Q227">
        <v>18.816099999999999</v>
      </c>
      <c r="R227">
        <v>246.626</v>
      </c>
      <c r="S227">
        <v>2.9347128863279441</v>
      </c>
      <c r="T227">
        <f t="shared" si="7"/>
        <v>5.3510819618949323</v>
      </c>
      <c r="U227">
        <v>4.5715955015751408</v>
      </c>
      <c r="V227">
        <v>5.5078730190735348</v>
      </c>
      <c r="W227">
        <v>3.870990403826339</v>
      </c>
      <c r="X227">
        <v>0</v>
      </c>
      <c r="Y227">
        <v>0</v>
      </c>
      <c r="Z227">
        <v>101.0247</v>
      </c>
      <c r="AA227">
        <v>2.020757753132481</v>
      </c>
      <c r="AB227">
        <v>1.1499999999999999</v>
      </c>
      <c r="AC227">
        <v>1.1565669759999999</v>
      </c>
      <c r="AD227">
        <v>3.875</v>
      </c>
      <c r="AE227">
        <v>0</v>
      </c>
      <c r="AF227">
        <v>0</v>
      </c>
      <c r="AG227">
        <v>0</v>
      </c>
    </row>
    <row r="228" spans="1:33" x14ac:dyDescent="0.25">
      <c r="A228" s="1">
        <v>43040</v>
      </c>
      <c r="B228">
        <v>99.2</v>
      </c>
      <c r="C228">
        <f t="shared" si="6"/>
        <v>0.731899999999996</v>
      </c>
      <c r="D228">
        <v>0</v>
      </c>
      <c r="E228">
        <v>7.2250944699359101E-3</v>
      </c>
      <c r="F228">
        <v>97.695173999999994</v>
      </c>
      <c r="G228">
        <v>97.565241999999998</v>
      </c>
      <c r="H228">
        <v>6.63</v>
      </c>
      <c r="I228">
        <v>4.9000000000000004</v>
      </c>
      <c r="J228">
        <v>7.02</v>
      </c>
      <c r="K228">
        <v>3.81</v>
      </c>
      <c r="L228">
        <v>3.64</v>
      </c>
      <c r="M228">
        <v>3.51</v>
      </c>
      <c r="N228">
        <v>3.4</v>
      </c>
      <c r="O228">
        <v>3.5</v>
      </c>
      <c r="P228">
        <v>3.3</v>
      </c>
      <c r="Q228">
        <v>18.915800000000001</v>
      </c>
      <c r="R228">
        <v>247.28399999999999</v>
      </c>
      <c r="S228">
        <v>2.9399975516658912</v>
      </c>
      <c r="T228">
        <f t="shared" si="7"/>
        <v>0.52846653379470254</v>
      </c>
      <c r="U228">
        <v>4.5818521617181656</v>
      </c>
      <c r="V228">
        <v>5.5105374736878554</v>
      </c>
      <c r="W228">
        <v>3.8686828636355779</v>
      </c>
      <c r="X228">
        <v>0</v>
      </c>
      <c r="Y228">
        <v>-0.69999998807907104</v>
      </c>
      <c r="Z228">
        <v>101.2664</v>
      </c>
      <c r="AA228">
        <v>2.1724938642955638</v>
      </c>
      <c r="AB228">
        <v>1.1599999999999999</v>
      </c>
      <c r="AC228">
        <v>1.283581415</v>
      </c>
      <c r="AD228">
        <v>3.8639999999999999</v>
      </c>
      <c r="AE228">
        <v>0</v>
      </c>
      <c r="AF228">
        <v>0</v>
      </c>
      <c r="AG228">
        <v>-6.0604550832258353E-3</v>
      </c>
    </row>
    <row r="229" spans="1:33" x14ac:dyDescent="0.25">
      <c r="A229" s="1">
        <v>43070</v>
      </c>
      <c r="B229">
        <v>99.833200000000005</v>
      </c>
      <c r="C229">
        <f t="shared" si="6"/>
        <v>0.63320000000000221</v>
      </c>
      <c r="D229">
        <v>1.5</v>
      </c>
      <c r="E229">
        <v>1.31327538904005E-2</v>
      </c>
      <c r="F229">
        <v>98.272882999999993</v>
      </c>
      <c r="G229">
        <v>97.974012000000002</v>
      </c>
      <c r="H229">
        <v>6.77</v>
      </c>
      <c r="I229">
        <v>4.87</v>
      </c>
      <c r="J229">
        <v>7.17</v>
      </c>
      <c r="K229">
        <v>3.85</v>
      </c>
      <c r="L229">
        <v>3.5</v>
      </c>
      <c r="M229">
        <v>3.5</v>
      </c>
      <c r="N229">
        <v>3.4</v>
      </c>
      <c r="O229">
        <v>3.5</v>
      </c>
      <c r="P229">
        <v>3.3</v>
      </c>
      <c r="Q229">
        <v>19.1812</v>
      </c>
      <c r="R229">
        <v>247.80500000000001</v>
      </c>
      <c r="S229">
        <v>2.953930632670227</v>
      </c>
      <c r="T229">
        <f t="shared" si="7"/>
        <v>1.3933081004335879</v>
      </c>
      <c r="U229">
        <v>4.5877481294834306</v>
      </c>
      <c r="V229">
        <v>5.5126421465540281</v>
      </c>
      <c r="W229">
        <v>3.878824649740825</v>
      </c>
      <c r="X229">
        <v>0</v>
      </c>
      <c r="Y229">
        <v>4</v>
      </c>
      <c r="Z229">
        <v>101.4644</v>
      </c>
      <c r="AA229">
        <v>2.1299307195522554</v>
      </c>
      <c r="AB229">
        <v>1.3</v>
      </c>
      <c r="AC229">
        <v>1.4084604700000001</v>
      </c>
      <c r="AD229">
        <v>3.996</v>
      </c>
      <c r="AE229">
        <v>0</v>
      </c>
      <c r="AF229">
        <v>1.5</v>
      </c>
      <c r="AG229">
        <v>0.74537848913565918</v>
      </c>
    </row>
    <row r="230" spans="1:33" x14ac:dyDescent="0.25">
      <c r="A230" s="1">
        <v>43101</v>
      </c>
      <c r="B230">
        <v>99.131299999999996</v>
      </c>
      <c r="C230">
        <f t="shared" si="6"/>
        <v>-0.70190000000000907</v>
      </c>
      <c r="D230">
        <v>0</v>
      </c>
      <c r="E230">
        <v>5.7415175351760396E-3</v>
      </c>
      <c r="F230">
        <v>98.794999699501005</v>
      </c>
      <c r="G230">
        <v>98.252014009991001</v>
      </c>
      <c r="H230">
        <v>5.55</v>
      </c>
      <c r="I230">
        <v>4.5599999999999996</v>
      </c>
      <c r="J230">
        <v>7.25</v>
      </c>
      <c r="K230">
        <v>4.0199999999999996</v>
      </c>
      <c r="L230">
        <v>3.52</v>
      </c>
      <c r="M230">
        <v>3.5</v>
      </c>
      <c r="N230">
        <v>3.3</v>
      </c>
      <c r="O230">
        <v>3.4</v>
      </c>
      <c r="P230">
        <v>3.3</v>
      </c>
      <c r="Q230">
        <v>18.907399999999999</v>
      </c>
      <c r="R230">
        <v>248.85900000000001</v>
      </c>
      <c r="S230">
        <v>2.9395533798275419</v>
      </c>
      <c r="T230">
        <f t="shared" si="7"/>
        <v>-1.4377252842685095</v>
      </c>
      <c r="U230">
        <v>4.5930469931441387</v>
      </c>
      <c r="V230">
        <v>5.5168864710158561</v>
      </c>
      <c r="W230">
        <v>3.8633928576992602</v>
      </c>
      <c r="X230">
        <v>0</v>
      </c>
      <c r="Y230">
        <v>0</v>
      </c>
      <c r="Z230">
        <v>101.46250000000001</v>
      </c>
      <c r="AA230">
        <v>2.1513188680639419</v>
      </c>
      <c r="AB230">
        <v>1.41</v>
      </c>
      <c r="AC230">
        <v>1.3994853650000001</v>
      </c>
      <c r="AD230">
        <v>4.0410000000000004</v>
      </c>
      <c r="AE230">
        <v>0</v>
      </c>
      <c r="AF230">
        <v>0</v>
      </c>
      <c r="AG230">
        <v>0</v>
      </c>
    </row>
    <row r="231" spans="1:33" x14ac:dyDescent="0.25">
      <c r="A231" s="1">
        <v>43132</v>
      </c>
      <c r="B231">
        <v>99.645700000000005</v>
      </c>
      <c r="C231">
        <f t="shared" si="6"/>
        <v>0.51440000000000907</v>
      </c>
      <c r="D231">
        <v>0.5</v>
      </c>
      <c r="E231">
        <v>1.07058212360416E-2</v>
      </c>
      <c r="F231">
        <v>99.171374481640001</v>
      </c>
      <c r="G231">
        <v>98.731688018981004</v>
      </c>
      <c r="H231">
        <v>5.34</v>
      </c>
      <c r="I231">
        <v>4.2699999999999996</v>
      </c>
      <c r="J231">
        <v>7.4</v>
      </c>
      <c r="K231">
        <v>3.96</v>
      </c>
      <c r="L231">
        <v>3.6</v>
      </c>
      <c r="M231">
        <v>3.5</v>
      </c>
      <c r="N231">
        <v>3.3</v>
      </c>
      <c r="O231">
        <v>3.44</v>
      </c>
      <c r="P231">
        <v>3.3</v>
      </c>
      <c r="Q231">
        <v>18.6449</v>
      </c>
      <c r="R231">
        <v>249.529</v>
      </c>
      <c r="S231">
        <v>2.9255726502482058</v>
      </c>
      <c r="T231">
        <f t="shared" si="7"/>
        <v>-1.398072957933616</v>
      </c>
      <c r="U231">
        <v>4.5968494089551681</v>
      </c>
      <c r="V231">
        <v>5.5195751409020337</v>
      </c>
      <c r="W231">
        <v>3.8482983821950709</v>
      </c>
      <c r="X231">
        <v>0</v>
      </c>
      <c r="Y231">
        <v>14</v>
      </c>
      <c r="Z231">
        <v>101.7085</v>
      </c>
      <c r="AA231">
        <v>2.263468931091857</v>
      </c>
      <c r="AB231">
        <v>1.42</v>
      </c>
      <c r="AC231">
        <v>1.5460206869999999</v>
      </c>
      <c r="AD231">
        <v>4.0019999999999998</v>
      </c>
      <c r="AE231">
        <v>0</v>
      </c>
      <c r="AF231">
        <v>0.5</v>
      </c>
      <c r="AG231">
        <v>0.2339801405423324</v>
      </c>
    </row>
    <row r="232" spans="1:33" x14ac:dyDescent="0.25">
      <c r="A232" s="1">
        <v>43160</v>
      </c>
      <c r="B232">
        <v>100.33150000000001</v>
      </c>
      <c r="C232">
        <f t="shared" si="6"/>
        <v>0.68580000000000041</v>
      </c>
      <c r="D232">
        <v>0</v>
      </c>
      <c r="E232">
        <v>1.7482072090571101E-2</v>
      </c>
      <c r="F232">
        <v>99.492156980588007</v>
      </c>
      <c r="G232">
        <v>99.057357158277</v>
      </c>
      <c r="H232">
        <v>5.04</v>
      </c>
      <c r="I232">
        <v>4.0199999999999996</v>
      </c>
      <c r="J232">
        <v>7.47</v>
      </c>
      <c r="K232">
        <v>3.85</v>
      </c>
      <c r="L232">
        <v>3.54</v>
      </c>
      <c r="M232">
        <v>3.5</v>
      </c>
      <c r="N232">
        <v>3.3</v>
      </c>
      <c r="O232">
        <v>3.49</v>
      </c>
      <c r="P232">
        <v>3.3</v>
      </c>
      <c r="Q232">
        <v>18.630800000000001</v>
      </c>
      <c r="R232">
        <v>249.577</v>
      </c>
      <c r="S232">
        <v>2.9248161251837539</v>
      </c>
      <c r="T232">
        <f t="shared" si="7"/>
        <v>-7.5652506445189616E-2</v>
      </c>
      <c r="U232">
        <v>4.600078816742049</v>
      </c>
      <c r="V232">
        <v>5.5197674848135394</v>
      </c>
      <c r="W232">
        <v>3.8445047932552439</v>
      </c>
      <c r="X232">
        <v>0</v>
      </c>
      <c r="Y232">
        <v>0</v>
      </c>
      <c r="Z232">
        <v>102.2067</v>
      </c>
      <c r="AA232">
        <v>2.3309497646499278</v>
      </c>
      <c r="AB232">
        <v>1.51</v>
      </c>
      <c r="AC232">
        <v>1.646319034</v>
      </c>
      <c r="AD232">
        <v>3.8639999999999999</v>
      </c>
      <c r="AE232">
        <v>0</v>
      </c>
      <c r="AF232">
        <v>0</v>
      </c>
      <c r="AG232">
        <v>0</v>
      </c>
    </row>
    <row r="233" spans="1:33" x14ac:dyDescent="0.25">
      <c r="A233" s="1">
        <v>43191</v>
      </c>
      <c r="B233">
        <v>99.431399999999996</v>
      </c>
      <c r="C233">
        <f t="shared" si="6"/>
        <v>-0.900100000000009</v>
      </c>
      <c r="D233">
        <v>-0.25</v>
      </c>
      <c r="E233">
        <v>8.5203042491413007E-3</v>
      </c>
      <c r="F233">
        <v>99.154847046097004</v>
      </c>
      <c r="G233">
        <v>99.203206319556998</v>
      </c>
      <c r="H233">
        <v>4.55</v>
      </c>
      <c r="I233">
        <v>3.71</v>
      </c>
      <c r="J233">
        <v>7.46</v>
      </c>
      <c r="K233">
        <v>4.01</v>
      </c>
      <c r="L233">
        <v>3.48</v>
      </c>
      <c r="M233">
        <v>3.5</v>
      </c>
      <c r="N233">
        <v>3.31</v>
      </c>
      <c r="O233">
        <v>3.5</v>
      </c>
      <c r="P233">
        <v>3.33</v>
      </c>
      <c r="Q233">
        <v>18.3872</v>
      </c>
      <c r="R233">
        <v>250.227</v>
      </c>
      <c r="S233">
        <v>2.9116547703627789</v>
      </c>
      <c r="T233">
        <f t="shared" si="7"/>
        <v>-1.3161354820975024</v>
      </c>
      <c r="U233">
        <v>4.5966827397628247</v>
      </c>
      <c r="V233">
        <v>5.5223685058796148</v>
      </c>
      <c r="W233">
        <v>3.837340536479569</v>
      </c>
      <c r="X233">
        <v>0</v>
      </c>
      <c r="Y233">
        <v>-0.5</v>
      </c>
      <c r="Z233">
        <v>103.3329</v>
      </c>
      <c r="AA233">
        <v>2.4709963021052985</v>
      </c>
      <c r="AB233">
        <v>1.69</v>
      </c>
      <c r="AC233">
        <v>1.7051157370000001</v>
      </c>
      <c r="AD233">
        <v>3.746</v>
      </c>
      <c r="AE233">
        <v>0</v>
      </c>
      <c r="AF233">
        <v>-0.25</v>
      </c>
      <c r="AG233">
        <v>-0.13130604018617875</v>
      </c>
    </row>
    <row r="234" spans="1:33" x14ac:dyDescent="0.25">
      <c r="A234" s="1">
        <v>43221</v>
      </c>
      <c r="B234">
        <v>100.182</v>
      </c>
      <c r="C234">
        <f t="shared" si="6"/>
        <v>0.75060000000000571</v>
      </c>
      <c r="D234">
        <v>-0.5</v>
      </c>
      <c r="E234">
        <v>1.62259092090959E-2</v>
      </c>
      <c r="F234">
        <v>98.994080173086999</v>
      </c>
      <c r="G234">
        <v>99.458111616161005</v>
      </c>
      <c r="H234">
        <v>4.51</v>
      </c>
      <c r="I234">
        <v>3.69</v>
      </c>
      <c r="J234">
        <v>7.51</v>
      </c>
      <c r="K234">
        <v>3.9</v>
      </c>
      <c r="L234">
        <v>3.46</v>
      </c>
      <c r="M234">
        <v>3.5</v>
      </c>
      <c r="N234">
        <v>3.29</v>
      </c>
      <c r="O234">
        <v>3.5</v>
      </c>
      <c r="P234">
        <v>3.3</v>
      </c>
      <c r="Q234">
        <v>19.591000000000001</v>
      </c>
      <c r="R234">
        <v>250.792</v>
      </c>
      <c r="S234">
        <v>2.9750702771058948</v>
      </c>
      <c r="T234">
        <f t="shared" si="7"/>
        <v>6.3415506743115913</v>
      </c>
      <c r="U234">
        <v>4.5950600521152793</v>
      </c>
      <c r="V234">
        <v>5.5246239103233812</v>
      </c>
      <c r="W234">
        <v>3.9046341353139979</v>
      </c>
      <c r="X234">
        <v>0</v>
      </c>
      <c r="Y234">
        <v>-6.5</v>
      </c>
      <c r="Z234">
        <v>102.4024</v>
      </c>
      <c r="AA234">
        <v>2.7819216078424991</v>
      </c>
      <c r="AB234">
        <v>1.7</v>
      </c>
      <c r="AC234">
        <v>1.769170334</v>
      </c>
      <c r="AD234">
        <v>3.9950000000000001</v>
      </c>
      <c r="AE234">
        <v>0</v>
      </c>
      <c r="AF234">
        <v>-0.5</v>
      </c>
      <c r="AG234">
        <v>-0.30927690564157989</v>
      </c>
    </row>
    <row r="235" spans="1:33" x14ac:dyDescent="0.25">
      <c r="A235" s="1">
        <v>43252</v>
      </c>
      <c r="B235">
        <v>99.935900000000004</v>
      </c>
      <c r="C235">
        <f t="shared" si="6"/>
        <v>-0.24609999999999843</v>
      </c>
      <c r="D235">
        <v>1.5</v>
      </c>
      <c r="E235">
        <v>1.4088375707067301E-2</v>
      </c>
      <c r="F235">
        <v>99.376464931786998</v>
      </c>
      <c r="G235">
        <v>99.688327009027006</v>
      </c>
      <c r="H235">
        <v>4.6500000000000004</v>
      </c>
      <c r="I235">
        <v>3.62</v>
      </c>
      <c r="J235">
        <v>7.64</v>
      </c>
      <c r="K235">
        <v>3.86</v>
      </c>
      <c r="L235">
        <v>3.48</v>
      </c>
      <c r="M235">
        <v>3.5</v>
      </c>
      <c r="N235">
        <v>3.27</v>
      </c>
      <c r="O235">
        <v>3.5</v>
      </c>
      <c r="P235">
        <v>3.3</v>
      </c>
      <c r="Q235">
        <v>20.3032</v>
      </c>
      <c r="R235">
        <v>251.018</v>
      </c>
      <c r="S235">
        <v>3.0107785090925572</v>
      </c>
      <c r="T235">
        <f t="shared" si="7"/>
        <v>3.5708231986662398</v>
      </c>
      <c r="U235">
        <v>4.5989153143177868</v>
      </c>
      <c r="V235">
        <v>5.5255246497079291</v>
      </c>
      <c r="W235">
        <v>3.9373878444826991</v>
      </c>
      <c r="X235">
        <v>0</v>
      </c>
      <c r="Y235">
        <v>6</v>
      </c>
      <c r="Z235">
        <v>103.19799999999999</v>
      </c>
      <c r="AA235">
        <v>2.8075506935940289</v>
      </c>
      <c r="AB235">
        <v>1.82</v>
      </c>
      <c r="AC235">
        <v>1.8900224940000001</v>
      </c>
      <c r="AD235">
        <v>4.0819999999999999</v>
      </c>
      <c r="AE235">
        <v>0</v>
      </c>
      <c r="AF235">
        <v>1.5</v>
      </c>
      <c r="AG235">
        <v>0.77954161331507554</v>
      </c>
    </row>
    <row r="236" spans="1:33" x14ac:dyDescent="0.25">
      <c r="A236" s="1">
        <v>43282</v>
      </c>
      <c r="B236">
        <v>100.2953</v>
      </c>
      <c r="C236">
        <f t="shared" si="6"/>
        <v>0.35939999999999372</v>
      </c>
      <c r="D236">
        <v>0</v>
      </c>
      <c r="E236">
        <v>1.81380359461558E-2</v>
      </c>
      <c r="F236">
        <v>99.909099104513999</v>
      </c>
      <c r="G236">
        <v>99.974291946131004</v>
      </c>
      <c r="H236">
        <v>4.8099999999999996</v>
      </c>
      <c r="I236">
        <v>3.63</v>
      </c>
      <c r="J236">
        <v>7.73</v>
      </c>
      <c r="K236">
        <v>3.85</v>
      </c>
      <c r="L236">
        <v>3.46</v>
      </c>
      <c r="M236">
        <v>3.5</v>
      </c>
      <c r="N236">
        <v>3.3</v>
      </c>
      <c r="O236">
        <v>3.5</v>
      </c>
      <c r="P236">
        <v>3.35</v>
      </c>
      <c r="Q236">
        <v>19.009499999999999</v>
      </c>
      <c r="R236">
        <v>251.214</v>
      </c>
      <c r="S236">
        <v>2.944938854208091</v>
      </c>
      <c r="T236">
        <f t="shared" si="7"/>
        <v>-6.5839654884466192</v>
      </c>
      <c r="U236">
        <v>4.6042607636340502</v>
      </c>
      <c r="V236">
        <v>5.5263051655251232</v>
      </c>
      <c r="W236">
        <v>3.8669832560991639</v>
      </c>
      <c r="X236">
        <v>0</v>
      </c>
      <c r="Y236">
        <v>0</v>
      </c>
      <c r="Z236">
        <v>103.3646</v>
      </c>
      <c r="AA236">
        <v>2.8541247855619214</v>
      </c>
      <c r="AB236">
        <v>1.91</v>
      </c>
      <c r="AC236">
        <v>1.9186714579999999</v>
      </c>
      <c r="AD236">
        <v>4.1420000000000003</v>
      </c>
      <c r="AE236">
        <v>0</v>
      </c>
      <c r="AF236">
        <v>0</v>
      </c>
      <c r="AG236">
        <v>0</v>
      </c>
    </row>
    <row r="237" spans="1:33" x14ac:dyDescent="0.25">
      <c r="A237" s="1">
        <v>43313</v>
      </c>
      <c r="B237">
        <v>100.5818</v>
      </c>
      <c r="C237">
        <f t="shared" si="6"/>
        <v>0.28650000000000375</v>
      </c>
      <c r="D237">
        <v>-0.75</v>
      </c>
      <c r="E237">
        <v>2.1587947492244901E-2</v>
      </c>
      <c r="F237">
        <v>100.492</v>
      </c>
      <c r="G237">
        <v>100.2203435343</v>
      </c>
      <c r="H237">
        <v>4.9000000000000004</v>
      </c>
      <c r="I237">
        <v>3.63</v>
      </c>
      <c r="J237">
        <v>7.73</v>
      </c>
      <c r="K237">
        <v>3.75</v>
      </c>
      <c r="L237">
        <v>3.44</v>
      </c>
      <c r="M237">
        <v>3.5</v>
      </c>
      <c r="N237">
        <v>3.29</v>
      </c>
      <c r="O237">
        <v>3.5</v>
      </c>
      <c r="P237">
        <v>3.3</v>
      </c>
      <c r="Q237">
        <v>18.857500000000002</v>
      </c>
      <c r="R237">
        <v>251.66300000000001</v>
      </c>
      <c r="S237">
        <v>2.9369107127456489</v>
      </c>
      <c r="T237">
        <f t="shared" si="7"/>
        <v>-0.80281414624421288</v>
      </c>
      <c r="U237">
        <v>4.6100781223406742</v>
      </c>
      <c r="V237">
        <v>5.5280908909383548</v>
      </c>
      <c r="W237">
        <v>3.8549234813433291</v>
      </c>
      <c r="X237">
        <v>0</v>
      </c>
      <c r="Y237">
        <v>-11</v>
      </c>
      <c r="Z237">
        <v>104.03270000000001</v>
      </c>
      <c r="AA237">
        <v>2.6429238568742606</v>
      </c>
      <c r="AB237">
        <v>1.91</v>
      </c>
      <c r="AC237">
        <v>2.0107140819999998</v>
      </c>
      <c r="AD237">
        <v>4.2489999999999997</v>
      </c>
      <c r="AE237">
        <v>0</v>
      </c>
      <c r="AF237">
        <v>-0.75</v>
      </c>
      <c r="AG237">
        <v>-0.38178568825914039</v>
      </c>
    </row>
    <row r="238" spans="1:33" x14ac:dyDescent="0.25">
      <c r="A238" s="1">
        <v>43344</v>
      </c>
      <c r="B238">
        <v>100.6799</v>
      </c>
      <c r="C238">
        <f t="shared" si="6"/>
        <v>9.8100000000002296E-2</v>
      </c>
      <c r="D238">
        <v>0</v>
      </c>
      <c r="E238">
        <v>2.32963948483818E-2</v>
      </c>
      <c r="F238">
        <v>100.917</v>
      </c>
      <c r="G238">
        <v>100.5447730689</v>
      </c>
      <c r="H238">
        <v>5.0199999999999996</v>
      </c>
      <c r="I238">
        <v>3.67</v>
      </c>
      <c r="J238">
        <v>7.69</v>
      </c>
      <c r="K238">
        <v>3.76</v>
      </c>
      <c r="L238">
        <v>3.47</v>
      </c>
      <c r="M238">
        <v>3.51</v>
      </c>
      <c r="N238">
        <v>3.3</v>
      </c>
      <c r="O238">
        <v>3.5</v>
      </c>
      <c r="P238">
        <v>3.3</v>
      </c>
      <c r="Q238">
        <v>19.0154</v>
      </c>
      <c r="R238">
        <v>252.18199999999999</v>
      </c>
      <c r="S238">
        <v>2.9452491771831601</v>
      </c>
      <c r="T238">
        <f t="shared" si="7"/>
        <v>0.83384644375112948</v>
      </c>
      <c r="U238">
        <v>4.6142983968149629</v>
      </c>
      <c r="V238">
        <v>5.5301510490566796</v>
      </c>
      <c r="W238">
        <v>3.8611018294248769</v>
      </c>
      <c r="X238">
        <v>0</v>
      </c>
      <c r="Y238">
        <v>0</v>
      </c>
      <c r="Z238">
        <v>104.10039999999999</v>
      </c>
      <c r="AA238">
        <v>2.3320551058088284</v>
      </c>
      <c r="AB238">
        <v>1.95</v>
      </c>
      <c r="AC238">
        <v>2.1654181349999999</v>
      </c>
      <c r="AD238">
        <v>4.3049999999999997</v>
      </c>
      <c r="AE238">
        <v>0</v>
      </c>
      <c r="AF238">
        <v>0</v>
      </c>
      <c r="AG238">
        <v>0</v>
      </c>
    </row>
    <row r="239" spans="1:33" x14ac:dyDescent="0.25">
      <c r="A239" s="1">
        <v>43374</v>
      </c>
      <c r="B239">
        <v>100.5638</v>
      </c>
      <c r="C239">
        <f t="shared" si="6"/>
        <v>-0.11610000000000298</v>
      </c>
      <c r="D239">
        <v>-0.25</v>
      </c>
      <c r="E239">
        <v>2.3009410606055901E-2</v>
      </c>
      <c r="F239">
        <v>101.44</v>
      </c>
      <c r="G239">
        <v>100.85660569540001</v>
      </c>
      <c r="H239">
        <v>4.9000000000000004</v>
      </c>
      <c r="I239">
        <v>3.73</v>
      </c>
      <c r="J239">
        <v>7.69</v>
      </c>
      <c r="K239">
        <v>3.83</v>
      </c>
      <c r="L239">
        <v>3.36</v>
      </c>
      <c r="M239">
        <v>3.5</v>
      </c>
      <c r="N239">
        <v>3.33</v>
      </c>
      <c r="O239">
        <v>3.5</v>
      </c>
      <c r="P239">
        <v>3.3</v>
      </c>
      <c r="Q239">
        <v>19.1859</v>
      </c>
      <c r="R239">
        <v>252.77199999999999</v>
      </c>
      <c r="S239">
        <v>2.9541756342483252</v>
      </c>
      <c r="T239">
        <f t="shared" si="7"/>
        <v>0.89264570651650388</v>
      </c>
      <c r="U239">
        <v>4.6194674906889146</v>
      </c>
      <c r="V239">
        <v>5.5324878966447457</v>
      </c>
      <c r="W239">
        <v>3.8671960402041559</v>
      </c>
      <c r="X239">
        <v>0</v>
      </c>
      <c r="Y239">
        <v>8.5</v>
      </c>
      <c r="Z239">
        <v>103.98560000000001</v>
      </c>
      <c r="AA239">
        <v>2.4920324702180574</v>
      </c>
      <c r="AB239">
        <v>2.19</v>
      </c>
      <c r="AC239">
        <v>2.2995241200000001</v>
      </c>
      <c r="AD239">
        <v>4.4340000000000002</v>
      </c>
      <c r="AE239">
        <v>0</v>
      </c>
      <c r="AF239">
        <v>-0.25</v>
      </c>
      <c r="AG239">
        <v>-0.14323144778337804</v>
      </c>
    </row>
    <row r="240" spans="1:33" x14ac:dyDescent="0.25">
      <c r="A240" s="1">
        <v>43405</v>
      </c>
      <c r="B240">
        <v>100.0467</v>
      </c>
      <c r="C240">
        <f t="shared" si="6"/>
        <v>-0.51709999999999923</v>
      </c>
      <c r="D240">
        <v>1.25</v>
      </c>
      <c r="E240">
        <v>1.8849668146319901E-2</v>
      </c>
      <c r="F240">
        <v>102.303</v>
      </c>
      <c r="G240">
        <v>101.1104428605</v>
      </c>
      <c r="H240">
        <v>4.72</v>
      </c>
      <c r="I240">
        <v>3.63</v>
      </c>
      <c r="J240">
        <v>7.83</v>
      </c>
      <c r="K240">
        <v>3.88</v>
      </c>
      <c r="L240">
        <v>3.51</v>
      </c>
      <c r="M240">
        <v>3.52</v>
      </c>
      <c r="N240">
        <v>3.4</v>
      </c>
      <c r="O240">
        <v>3.5</v>
      </c>
      <c r="P240">
        <v>3.36</v>
      </c>
      <c r="Q240">
        <v>20.261199999999999</v>
      </c>
      <c r="R240">
        <v>252.59399999999999</v>
      </c>
      <c r="S240">
        <v>3.0087077270763811</v>
      </c>
      <c r="T240">
        <f t="shared" si="7"/>
        <v>5.4532092828055934</v>
      </c>
      <c r="U240">
        <v>4.6279389980407926</v>
      </c>
      <c r="V240">
        <v>5.5317834566651634</v>
      </c>
      <c r="W240">
        <v>3.912552185700751</v>
      </c>
      <c r="X240">
        <v>0</v>
      </c>
      <c r="Y240">
        <v>-6</v>
      </c>
      <c r="Z240">
        <v>104.0681</v>
      </c>
      <c r="AA240">
        <v>2.1473285776677837</v>
      </c>
      <c r="AB240">
        <v>2.2000000000000002</v>
      </c>
      <c r="AC240">
        <v>2.4030067490000002</v>
      </c>
      <c r="AD240">
        <v>4.7789999999999999</v>
      </c>
      <c r="AE240">
        <v>0</v>
      </c>
      <c r="AF240">
        <v>1.25</v>
      </c>
      <c r="AG240">
        <v>0.62014442616565046</v>
      </c>
    </row>
    <row r="241" spans="1:33" x14ac:dyDescent="0.25">
      <c r="A241" s="1">
        <v>43435</v>
      </c>
      <c r="B241">
        <v>99.647400000000005</v>
      </c>
      <c r="C241">
        <f t="shared" si="6"/>
        <v>-0.39929999999999666</v>
      </c>
      <c r="D241">
        <v>0.75</v>
      </c>
      <c r="E241">
        <v>1.5968620484559701E-2</v>
      </c>
      <c r="F241">
        <v>103.02</v>
      </c>
      <c r="G241">
        <v>101.5824749997</v>
      </c>
      <c r="H241">
        <v>4.83</v>
      </c>
      <c r="I241">
        <v>3.68</v>
      </c>
      <c r="J241">
        <v>8.02</v>
      </c>
      <c r="K241">
        <v>3.89</v>
      </c>
      <c r="L241">
        <v>3.5</v>
      </c>
      <c r="M241">
        <v>3.55</v>
      </c>
      <c r="N241">
        <v>3.45</v>
      </c>
      <c r="O241">
        <v>3.5</v>
      </c>
      <c r="P241">
        <v>3.38</v>
      </c>
      <c r="Q241">
        <v>20.1112</v>
      </c>
      <c r="R241">
        <v>252.767</v>
      </c>
      <c r="S241">
        <v>3.001276873809342</v>
      </c>
      <c r="T241">
        <f t="shared" si="7"/>
        <v>-0.74308532670390726</v>
      </c>
      <c r="U241">
        <v>4.6349231441374394</v>
      </c>
      <c r="V241">
        <v>5.5324681157771964</v>
      </c>
      <c r="W241">
        <v>3.8988218454490982</v>
      </c>
      <c r="X241">
        <v>0</v>
      </c>
      <c r="Y241">
        <v>3</v>
      </c>
      <c r="Z241">
        <v>104.0936</v>
      </c>
      <c r="AA241">
        <v>2.0023809043401015</v>
      </c>
      <c r="AB241">
        <v>2.27</v>
      </c>
      <c r="AC241">
        <v>2.5308688140000002</v>
      </c>
      <c r="AD241">
        <v>4.6749999999999998</v>
      </c>
      <c r="AE241">
        <v>0</v>
      </c>
      <c r="AF241">
        <v>0.75</v>
      </c>
      <c r="AG241">
        <v>0.42601953032254547</v>
      </c>
    </row>
    <row r="242" spans="1:33" x14ac:dyDescent="0.25">
      <c r="A242" s="1">
        <v>43466</v>
      </c>
      <c r="B242">
        <v>100.1486</v>
      </c>
      <c r="C242">
        <f t="shared" si="6"/>
        <v>0.5011999999999972</v>
      </c>
      <c r="D242">
        <v>0</v>
      </c>
      <c r="E242">
        <v>2.2218905692460201E-2</v>
      </c>
      <c r="F242">
        <v>103.108</v>
      </c>
      <c r="G242">
        <v>101.7847955923</v>
      </c>
      <c r="H242">
        <v>4.37</v>
      </c>
      <c r="I242">
        <v>3.6</v>
      </c>
      <c r="J242">
        <v>7.95</v>
      </c>
      <c r="K242">
        <v>3.98</v>
      </c>
      <c r="L242">
        <v>3.5</v>
      </c>
      <c r="M242">
        <v>3.53</v>
      </c>
      <c r="N242">
        <v>3.42</v>
      </c>
      <c r="O242">
        <v>3.5</v>
      </c>
      <c r="P242">
        <v>3.4</v>
      </c>
      <c r="Q242">
        <v>19.165099999999999</v>
      </c>
      <c r="R242">
        <v>252.56100000000001</v>
      </c>
      <c r="S242">
        <v>2.953090916663935</v>
      </c>
      <c r="T242">
        <f t="shared" si="7"/>
        <v>-4.8185957145407077</v>
      </c>
      <c r="U242">
        <v>4.6357769825809916</v>
      </c>
      <c r="V242">
        <v>5.5316528036970762</v>
      </c>
      <c r="W242">
        <v>3.8489667377800201</v>
      </c>
      <c r="X242">
        <v>0</v>
      </c>
      <c r="Y242">
        <v>0</v>
      </c>
      <c r="Z242">
        <v>103.4021</v>
      </c>
      <c r="AA242">
        <v>1.4875893578291313</v>
      </c>
      <c r="AB242">
        <v>2.4</v>
      </c>
      <c r="AC242">
        <v>2.4940029479999999</v>
      </c>
      <c r="AD242">
        <v>4.407</v>
      </c>
      <c r="AE242">
        <v>0</v>
      </c>
      <c r="AF242">
        <v>0</v>
      </c>
      <c r="AG242">
        <v>0</v>
      </c>
    </row>
    <row r="243" spans="1:33" x14ac:dyDescent="0.25">
      <c r="A243" s="1">
        <v>43497</v>
      </c>
      <c r="B243">
        <v>100.39709999999999</v>
      </c>
      <c r="C243">
        <f t="shared" si="6"/>
        <v>0.24849999999999284</v>
      </c>
      <c r="D243">
        <v>0</v>
      </c>
      <c r="E243">
        <v>2.6036817393144701E-2</v>
      </c>
      <c r="F243">
        <v>103.07899999999999</v>
      </c>
      <c r="G243">
        <v>102.2241726646</v>
      </c>
      <c r="H243">
        <v>3.94</v>
      </c>
      <c r="I243">
        <v>3.54</v>
      </c>
      <c r="J243">
        <v>7.93</v>
      </c>
      <c r="K243">
        <v>4.17</v>
      </c>
      <c r="L243">
        <v>3.51</v>
      </c>
      <c r="M243">
        <v>3.5</v>
      </c>
      <c r="N243">
        <v>3.5</v>
      </c>
      <c r="O243">
        <v>3.5</v>
      </c>
      <c r="P243">
        <v>3.4</v>
      </c>
      <c r="Q243">
        <v>19.204899999999999</v>
      </c>
      <c r="R243">
        <v>253.31899999999999</v>
      </c>
      <c r="S243">
        <v>2.9551654548069619</v>
      </c>
      <c r="T243">
        <f t="shared" si="7"/>
        <v>0.20745381430269383</v>
      </c>
      <c r="U243">
        <v>4.6354956845341579</v>
      </c>
      <c r="V243">
        <v>5.5346495640642486</v>
      </c>
      <c r="W243">
        <v>3.8543193343370539</v>
      </c>
      <c r="X243">
        <v>0</v>
      </c>
      <c r="Y243">
        <v>0</v>
      </c>
      <c r="Z243">
        <v>102.83710000000001</v>
      </c>
      <c r="AA243">
        <v>1.5188615351321859</v>
      </c>
      <c r="AB243">
        <v>2.4</v>
      </c>
      <c r="AC243">
        <v>2.455418962</v>
      </c>
      <c r="AD243">
        <v>4.3109999999999999</v>
      </c>
      <c r="AE243">
        <v>0</v>
      </c>
      <c r="AF243">
        <v>0</v>
      </c>
      <c r="AG243">
        <v>-6.0604550832258353E-3</v>
      </c>
    </row>
    <row r="244" spans="1:33" x14ac:dyDescent="0.25">
      <c r="A244" s="1">
        <v>43525</v>
      </c>
      <c r="B244">
        <v>99.226200000000006</v>
      </c>
      <c r="C244">
        <f t="shared" si="6"/>
        <v>-1.1708999999999889</v>
      </c>
      <c r="D244">
        <v>0</v>
      </c>
      <c r="E244">
        <v>1.5741663917614401E-2</v>
      </c>
      <c r="F244">
        <v>103.476</v>
      </c>
      <c r="G244">
        <v>102.5761403006</v>
      </c>
      <c r="H244">
        <v>4</v>
      </c>
      <c r="I244">
        <v>3.55</v>
      </c>
      <c r="J244">
        <v>8.02</v>
      </c>
      <c r="K244">
        <v>4.12</v>
      </c>
      <c r="L244">
        <v>3.51</v>
      </c>
      <c r="M244">
        <v>3.55</v>
      </c>
      <c r="N244">
        <v>3.5</v>
      </c>
      <c r="O244">
        <v>3.5</v>
      </c>
      <c r="P244">
        <v>3.4</v>
      </c>
      <c r="Q244">
        <v>19.247699999999998</v>
      </c>
      <c r="R244">
        <v>254.27699999999999</v>
      </c>
      <c r="S244">
        <v>2.957391573075947</v>
      </c>
      <c r="T244">
        <f t="shared" si="7"/>
        <v>0.22261182689851111</v>
      </c>
      <c r="U244">
        <v>4.6393397017581881</v>
      </c>
      <c r="V244">
        <v>5.5384242239806776</v>
      </c>
      <c r="W244">
        <v>3.856476095298436</v>
      </c>
      <c r="X244">
        <v>0</v>
      </c>
      <c r="Y244">
        <v>5.5</v>
      </c>
      <c r="Z244">
        <v>102.87569999999999</v>
      </c>
      <c r="AA244">
        <v>1.883186351306406</v>
      </c>
      <c r="AB244">
        <v>2.41</v>
      </c>
      <c r="AC244">
        <v>2.40345582</v>
      </c>
      <c r="AD244">
        <v>4.1429999999999998</v>
      </c>
      <c r="AE244">
        <v>0</v>
      </c>
      <c r="AF244">
        <v>0</v>
      </c>
      <c r="AG244">
        <v>-6.0604550832258353E-3</v>
      </c>
    </row>
    <row r="245" spans="1:33" x14ac:dyDescent="0.25">
      <c r="A245" s="1">
        <v>43556</v>
      </c>
      <c r="B245">
        <v>99.662199999999999</v>
      </c>
      <c r="C245">
        <f t="shared" si="6"/>
        <v>0.43599999999999284</v>
      </c>
      <c r="D245">
        <v>0</v>
      </c>
      <c r="E245">
        <v>2.1646601197850199E-2</v>
      </c>
      <c r="F245">
        <v>103.53100000000001</v>
      </c>
      <c r="G245">
        <v>103.0432843305</v>
      </c>
      <c r="H245">
        <v>4.41</v>
      </c>
      <c r="I245">
        <v>3.87</v>
      </c>
      <c r="J245">
        <v>7.78</v>
      </c>
      <c r="K245">
        <v>4.01</v>
      </c>
      <c r="L245">
        <v>3.48</v>
      </c>
      <c r="M245">
        <v>3.55</v>
      </c>
      <c r="N245">
        <v>3.5</v>
      </c>
      <c r="O245">
        <v>3.5</v>
      </c>
      <c r="P245">
        <v>3.4</v>
      </c>
      <c r="Q245">
        <v>18.9864</v>
      </c>
      <c r="R245">
        <v>255.233</v>
      </c>
      <c r="S245">
        <v>2.9437229333931589</v>
      </c>
      <c r="T245">
        <f t="shared" si="7"/>
        <v>-1.3668639682788086</v>
      </c>
      <c r="U245">
        <v>4.6398710847674014</v>
      </c>
      <c r="V245">
        <v>5.5421768534556008</v>
      </c>
      <c r="W245">
        <v>3.8460287020813588</v>
      </c>
      <c r="X245">
        <v>0</v>
      </c>
      <c r="Y245">
        <v>0</v>
      </c>
      <c r="Z245">
        <v>102.274</v>
      </c>
      <c r="AA245">
        <v>2.0005834702090506</v>
      </c>
      <c r="AB245">
        <v>2.42</v>
      </c>
      <c r="AC245">
        <v>2.4087304469999999</v>
      </c>
      <c r="AD245">
        <v>4.2560000000000002</v>
      </c>
      <c r="AE245">
        <v>0</v>
      </c>
      <c r="AF245">
        <v>0</v>
      </c>
      <c r="AG245">
        <v>0</v>
      </c>
    </row>
    <row r="246" spans="1:33" x14ac:dyDescent="0.25">
      <c r="A246" s="1">
        <v>43586</v>
      </c>
      <c r="B246">
        <v>99.245699999999999</v>
      </c>
      <c r="C246">
        <f t="shared" si="6"/>
        <v>-0.4164999999999992</v>
      </c>
      <c r="D246">
        <v>0</v>
      </c>
      <c r="E246">
        <v>1.9050762430937101E-2</v>
      </c>
      <c r="F246">
        <v>103.233</v>
      </c>
      <c r="G246">
        <v>103.2122482569</v>
      </c>
      <c r="H246">
        <v>4.28</v>
      </c>
      <c r="I246">
        <v>3.77</v>
      </c>
      <c r="J246">
        <v>8.07</v>
      </c>
      <c r="K246">
        <v>3.98</v>
      </c>
      <c r="L246">
        <v>3.48</v>
      </c>
      <c r="M246">
        <v>3.54</v>
      </c>
      <c r="N246">
        <v>3.48</v>
      </c>
      <c r="O246">
        <v>3.5</v>
      </c>
      <c r="P246">
        <v>3.4</v>
      </c>
      <c r="Q246">
        <v>19.119700000000002</v>
      </c>
      <c r="R246">
        <v>255.29599999999999</v>
      </c>
      <c r="S246">
        <v>2.950719217123591</v>
      </c>
      <c r="T246">
        <f t="shared" si="7"/>
        <v>0.69962837304320402</v>
      </c>
      <c r="U246">
        <v>4.6369885693746111</v>
      </c>
      <c r="V246">
        <v>5.5424236562829412</v>
      </c>
      <c r="W246">
        <v>3.8561543040319211</v>
      </c>
      <c r="X246">
        <v>0</v>
      </c>
      <c r="Y246">
        <v>4.5</v>
      </c>
      <c r="Z246">
        <v>102.392</v>
      </c>
      <c r="AA246">
        <v>1.7959105553606141</v>
      </c>
      <c r="AB246">
        <v>2.39</v>
      </c>
      <c r="AC246">
        <v>2.4144682240000002</v>
      </c>
      <c r="AD246">
        <v>4.3289999999999997</v>
      </c>
      <c r="AE246">
        <v>0</v>
      </c>
      <c r="AF246">
        <v>0</v>
      </c>
      <c r="AG246">
        <v>-6.0604550832258353E-3</v>
      </c>
    </row>
    <row r="247" spans="1:33" x14ac:dyDescent="0.25">
      <c r="A247" s="1">
        <v>43617</v>
      </c>
      <c r="B247">
        <v>99.746300000000005</v>
      </c>
      <c r="C247">
        <f t="shared" si="6"/>
        <v>0.50060000000000571</v>
      </c>
      <c r="D247">
        <v>0</v>
      </c>
      <c r="E247">
        <v>2.5731124238675698E-2</v>
      </c>
      <c r="F247">
        <v>103.29900000000001</v>
      </c>
      <c r="G247">
        <v>103.52556173089999</v>
      </c>
      <c r="H247">
        <v>3.95</v>
      </c>
      <c r="I247">
        <v>3.85</v>
      </c>
      <c r="J247">
        <v>8.25</v>
      </c>
      <c r="K247">
        <v>4.03</v>
      </c>
      <c r="L247">
        <v>3.48</v>
      </c>
      <c r="M247">
        <v>3.5</v>
      </c>
      <c r="N247">
        <v>3.49</v>
      </c>
      <c r="O247">
        <v>3.5</v>
      </c>
      <c r="P247">
        <v>3.4</v>
      </c>
      <c r="Q247">
        <v>19.2745</v>
      </c>
      <c r="R247">
        <v>255.21299999999999</v>
      </c>
      <c r="S247">
        <v>2.9587829787757118</v>
      </c>
      <c r="T247">
        <f t="shared" si="7"/>
        <v>0.80637616521208599</v>
      </c>
      <c r="U247">
        <v>4.6376276955366258</v>
      </c>
      <c r="V247">
        <v>5.5420984906120863</v>
      </c>
      <c r="W247">
        <v>3.8632537738511741</v>
      </c>
      <c r="X247">
        <v>0</v>
      </c>
      <c r="Y247">
        <v>-10.5</v>
      </c>
      <c r="Z247">
        <v>102.4375</v>
      </c>
      <c r="AA247">
        <v>1.671194894390041</v>
      </c>
      <c r="AB247">
        <v>2.38</v>
      </c>
      <c r="AC247">
        <v>2.1857197030000002</v>
      </c>
      <c r="AD247">
        <v>4.2279999999999998</v>
      </c>
      <c r="AE247">
        <v>0</v>
      </c>
      <c r="AF247">
        <v>0</v>
      </c>
      <c r="AG247">
        <v>-6.0604550832258353E-3</v>
      </c>
    </row>
    <row r="248" spans="1:33" x14ac:dyDescent="0.25">
      <c r="A248" s="1">
        <v>43647</v>
      </c>
      <c r="B248">
        <v>99.537300000000002</v>
      </c>
      <c r="C248">
        <f t="shared" si="6"/>
        <v>-0.20900000000000318</v>
      </c>
      <c r="D248">
        <v>0</v>
      </c>
      <c r="E248">
        <v>2.5323722974551498E-2</v>
      </c>
      <c r="F248">
        <v>103.687</v>
      </c>
      <c r="G248">
        <v>103.79440517899999</v>
      </c>
      <c r="H248">
        <v>3.78</v>
      </c>
      <c r="I248">
        <v>3.82</v>
      </c>
      <c r="J248">
        <v>8.14</v>
      </c>
      <c r="K248">
        <v>3.91</v>
      </c>
      <c r="L248">
        <v>3.47</v>
      </c>
      <c r="M248">
        <v>3.5</v>
      </c>
      <c r="N248">
        <v>3.41</v>
      </c>
      <c r="O248">
        <v>3.5</v>
      </c>
      <c r="P248">
        <v>3.4</v>
      </c>
      <c r="Q248">
        <v>19.0534</v>
      </c>
      <c r="R248">
        <v>255.80199999999999</v>
      </c>
      <c r="S248">
        <v>2.9472455633377499</v>
      </c>
      <c r="T248">
        <f t="shared" si="7"/>
        <v>-1.153741543796194</v>
      </c>
      <c r="U248">
        <v>4.6413767457569994</v>
      </c>
      <c r="V248">
        <v>5.5444037077224646</v>
      </c>
      <c r="W248">
        <v>3.850272525303216</v>
      </c>
      <c r="X248">
        <v>0</v>
      </c>
      <c r="Y248">
        <v>0</v>
      </c>
      <c r="Z248">
        <v>101.9408</v>
      </c>
      <c r="AA248">
        <v>1.8263313350370576</v>
      </c>
      <c r="AB248">
        <v>2.4</v>
      </c>
      <c r="AC248">
        <v>2.1720244160000002</v>
      </c>
      <c r="AD248">
        <v>4.0890000000000004</v>
      </c>
      <c r="AE248">
        <v>0</v>
      </c>
      <c r="AF248">
        <v>0</v>
      </c>
      <c r="AG248">
        <v>0</v>
      </c>
    </row>
    <row r="249" spans="1:33" x14ac:dyDescent="0.25">
      <c r="A249" s="1">
        <v>43678</v>
      </c>
      <c r="B249">
        <v>99.642799999999994</v>
      </c>
      <c r="C249">
        <f t="shared" si="6"/>
        <v>0.10549999999999216</v>
      </c>
      <c r="D249">
        <v>-3.75</v>
      </c>
      <c r="E249">
        <v>2.8096673116575498E-2</v>
      </c>
      <c r="F249">
        <v>103.67</v>
      </c>
      <c r="G249">
        <v>104.0053856573</v>
      </c>
      <c r="H249">
        <v>3.16</v>
      </c>
      <c r="I249">
        <v>3.78</v>
      </c>
      <c r="J249">
        <v>8.01</v>
      </c>
      <c r="K249">
        <v>3.8</v>
      </c>
      <c r="L249">
        <v>3.48</v>
      </c>
      <c r="M249">
        <v>3.5</v>
      </c>
      <c r="N249">
        <v>3.49</v>
      </c>
      <c r="O249">
        <v>3.5</v>
      </c>
      <c r="P249">
        <v>3.4</v>
      </c>
      <c r="Q249">
        <v>19.684999999999999</v>
      </c>
      <c r="R249">
        <v>256.036</v>
      </c>
      <c r="S249">
        <v>2.9798569243957012</v>
      </c>
      <c r="T249">
        <f t="shared" si="7"/>
        <v>3.261136105795126</v>
      </c>
      <c r="U249">
        <v>4.6412127773350207</v>
      </c>
      <c r="V249">
        <v>5.5453180595927938</v>
      </c>
      <c r="W249">
        <v>3.8839622066534729</v>
      </c>
      <c r="X249">
        <v>-0.13636363636363669</v>
      </c>
      <c r="Y249">
        <v>-18.5</v>
      </c>
      <c r="Z249">
        <v>102.639</v>
      </c>
      <c r="AA249">
        <v>1.7376412106666417</v>
      </c>
      <c r="AB249">
        <v>2.13</v>
      </c>
      <c r="AC249">
        <v>2.0204607569999999</v>
      </c>
      <c r="AD249">
        <v>3.867</v>
      </c>
      <c r="AE249">
        <v>-0.13636363636363669</v>
      </c>
      <c r="AF249">
        <v>-3.75</v>
      </c>
      <c r="AG249">
        <v>-1.6679092117514873</v>
      </c>
    </row>
    <row r="250" spans="1:33" x14ac:dyDescent="0.25">
      <c r="A250" s="1">
        <v>43709</v>
      </c>
      <c r="B250">
        <v>100.0753</v>
      </c>
      <c r="C250">
        <f t="shared" si="6"/>
        <v>0.43250000000000455</v>
      </c>
      <c r="D250">
        <v>0</v>
      </c>
      <c r="E250">
        <v>3.4145502545694498E-2</v>
      </c>
      <c r="F250">
        <v>103.94199999999999</v>
      </c>
      <c r="G250">
        <v>104.3153131489</v>
      </c>
      <c r="H250">
        <v>3</v>
      </c>
      <c r="I250">
        <v>3.75</v>
      </c>
      <c r="J250">
        <v>7.72</v>
      </c>
      <c r="K250">
        <v>3.78</v>
      </c>
      <c r="L250">
        <v>3.44</v>
      </c>
      <c r="M250">
        <v>3.5</v>
      </c>
      <c r="N250">
        <v>3.47</v>
      </c>
      <c r="O250">
        <v>3.5</v>
      </c>
      <c r="P250">
        <v>3.4</v>
      </c>
      <c r="Q250">
        <v>19.586500000000001</v>
      </c>
      <c r="R250">
        <v>256.43</v>
      </c>
      <c r="S250">
        <v>2.9748405534114379</v>
      </c>
      <c r="T250">
        <f t="shared" si="7"/>
        <v>-0.50163709842632187</v>
      </c>
      <c r="U250">
        <v>4.6438330512654833</v>
      </c>
      <c r="V250">
        <v>5.5468557228821886</v>
      </c>
      <c r="W250">
        <v>3.8778632250281428</v>
      </c>
      <c r="X250">
        <v>-0.21250000000000036</v>
      </c>
      <c r="Y250">
        <v>-14</v>
      </c>
      <c r="Z250">
        <v>102.29170000000001</v>
      </c>
      <c r="AA250">
        <v>1.6844977040391538</v>
      </c>
      <c r="AB250">
        <v>2.04</v>
      </c>
      <c r="AC250">
        <v>1.9583681420000001</v>
      </c>
      <c r="AD250">
        <v>3.7509999999999999</v>
      </c>
      <c r="AE250">
        <v>-0.21250000000000036</v>
      </c>
      <c r="AF250">
        <v>0</v>
      </c>
      <c r="AG250">
        <v>-6.0604550832258353E-3</v>
      </c>
    </row>
    <row r="251" spans="1:33" x14ac:dyDescent="0.25">
      <c r="A251" s="1">
        <v>43739</v>
      </c>
      <c r="B251">
        <v>99.059700000000007</v>
      </c>
      <c r="C251">
        <f t="shared" si="6"/>
        <v>-1.0155999999999921</v>
      </c>
      <c r="D251">
        <v>0</v>
      </c>
      <c r="E251">
        <v>2.5645792345558902E-2</v>
      </c>
      <c r="F251">
        <v>104.503</v>
      </c>
      <c r="G251">
        <v>104.57202799229999</v>
      </c>
      <c r="H251">
        <v>3.02</v>
      </c>
      <c r="I251">
        <v>3.68</v>
      </c>
      <c r="J251">
        <v>7.66</v>
      </c>
      <c r="K251">
        <v>3.69</v>
      </c>
      <c r="L251">
        <v>3.4</v>
      </c>
      <c r="M251">
        <v>3.5</v>
      </c>
      <c r="N251">
        <v>3.46</v>
      </c>
      <c r="O251">
        <v>3.5</v>
      </c>
      <c r="P251">
        <v>3.4</v>
      </c>
      <c r="Q251">
        <v>19.324200000000001</v>
      </c>
      <c r="R251">
        <v>257.15499999999997</v>
      </c>
      <c r="S251">
        <v>2.9613581964626539</v>
      </c>
      <c r="T251">
        <f t="shared" si="7"/>
        <v>-1.348235694878408</v>
      </c>
      <c r="U251">
        <v>4.6492157791267674</v>
      </c>
      <c r="V251">
        <v>5.5496790159362313</v>
      </c>
      <c r="W251">
        <v>3.861821433272119</v>
      </c>
      <c r="X251">
        <v>0</v>
      </c>
      <c r="Y251">
        <v>0</v>
      </c>
      <c r="Z251">
        <v>101.4281</v>
      </c>
      <c r="AA251">
        <v>1.7339736996186215</v>
      </c>
      <c r="AB251">
        <v>1.83</v>
      </c>
      <c r="AC251">
        <v>1.655518738</v>
      </c>
      <c r="AD251">
        <v>3.6930000000000001</v>
      </c>
      <c r="AE251">
        <v>0</v>
      </c>
      <c r="AF251">
        <v>0</v>
      </c>
      <c r="AG251">
        <v>0</v>
      </c>
    </row>
    <row r="252" spans="1:33" x14ac:dyDescent="0.25">
      <c r="A252" s="1">
        <v>43770</v>
      </c>
      <c r="B252">
        <v>99.262900000000002</v>
      </c>
      <c r="C252">
        <f t="shared" si="6"/>
        <v>0.20319999999999538</v>
      </c>
      <c r="D252">
        <v>1.5</v>
      </c>
      <c r="E252">
        <v>2.9354542955307001E-2</v>
      </c>
      <c r="F252">
        <v>105.346</v>
      </c>
      <c r="G252">
        <v>104.8036582209</v>
      </c>
      <c r="H252">
        <v>2.97</v>
      </c>
      <c r="I252">
        <v>3.65</v>
      </c>
      <c r="J252">
        <v>7.47</v>
      </c>
      <c r="K252">
        <v>3.53</v>
      </c>
      <c r="L252">
        <v>3.4</v>
      </c>
      <c r="M252">
        <v>3.5</v>
      </c>
      <c r="N252">
        <v>3.47</v>
      </c>
      <c r="O252">
        <v>3.5</v>
      </c>
      <c r="P252">
        <v>3.4</v>
      </c>
      <c r="Q252">
        <v>19.3325</v>
      </c>
      <c r="R252">
        <v>257.87900000000002</v>
      </c>
      <c r="S252">
        <v>2.961787617501054</v>
      </c>
      <c r="T252">
        <f t="shared" si="7"/>
        <v>4.2942103840015733E-2</v>
      </c>
      <c r="U252">
        <v>4.6572501708535272</v>
      </c>
      <c r="V252">
        <v>5.5524904826622938</v>
      </c>
      <c r="W252">
        <v>3.8570279293098202</v>
      </c>
      <c r="X252">
        <v>0</v>
      </c>
      <c r="Y252">
        <v>5.130000114440918</v>
      </c>
      <c r="Z252">
        <v>101.9372</v>
      </c>
      <c r="AA252">
        <v>2.0922903948629128</v>
      </c>
      <c r="AB252">
        <v>1.55</v>
      </c>
      <c r="AC252">
        <v>1.638591041</v>
      </c>
      <c r="AD252">
        <v>3.7</v>
      </c>
      <c r="AE252">
        <v>0</v>
      </c>
      <c r="AF252">
        <v>1.5</v>
      </c>
      <c r="AG252">
        <v>0.77954161331507554</v>
      </c>
    </row>
    <row r="253" spans="1:33" x14ac:dyDescent="0.25">
      <c r="A253" s="1">
        <v>43800</v>
      </c>
      <c r="B253">
        <v>99.088200000000001</v>
      </c>
      <c r="C253">
        <f t="shared" si="6"/>
        <v>-0.17470000000000141</v>
      </c>
      <c r="D253">
        <v>0.25</v>
      </c>
      <c r="E253">
        <v>2.9186165515739899E-2</v>
      </c>
      <c r="F253">
        <v>105.934</v>
      </c>
      <c r="G253">
        <v>105.23379441429999</v>
      </c>
      <c r="H253">
        <v>2.83</v>
      </c>
      <c r="I253">
        <v>3.59</v>
      </c>
      <c r="J253">
        <v>7.12</v>
      </c>
      <c r="K253">
        <v>3.46</v>
      </c>
      <c r="L253">
        <v>3.4</v>
      </c>
      <c r="M253">
        <v>3.5</v>
      </c>
      <c r="N253">
        <v>3.46</v>
      </c>
      <c r="O253">
        <v>3.5</v>
      </c>
      <c r="P253">
        <v>3.4</v>
      </c>
      <c r="Q253">
        <v>19.107099999999999</v>
      </c>
      <c r="R253">
        <v>258.63</v>
      </c>
      <c r="S253">
        <v>2.9500599937276331</v>
      </c>
      <c r="T253">
        <f t="shared" si="7"/>
        <v>-1.1727623773420959</v>
      </c>
      <c r="U253">
        <v>4.6628162586809081</v>
      </c>
      <c r="V253">
        <v>5.5553984688899432</v>
      </c>
      <c r="W253">
        <v>3.8426422039366668</v>
      </c>
      <c r="X253">
        <v>0</v>
      </c>
      <c r="Y253">
        <v>12</v>
      </c>
      <c r="Z253">
        <v>101.7003</v>
      </c>
      <c r="AA253">
        <v>2.3195274699624555</v>
      </c>
      <c r="AB253">
        <v>1.55</v>
      </c>
      <c r="AC253">
        <v>1.608781137</v>
      </c>
      <c r="AD253">
        <v>3.661</v>
      </c>
      <c r="AE253">
        <v>0</v>
      </c>
      <c r="AF253" s="5">
        <v>0</v>
      </c>
      <c r="AG253">
        <v>0</v>
      </c>
    </row>
    <row r="254" spans="1:33" x14ac:dyDescent="0.25">
      <c r="A254" s="1">
        <v>43831</v>
      </c>
      <c r="B254">
        <v>99.920900000000003</v>
      </c>
      <c r="C254">
        <f t="shared" si="6"/>
        <v>0.83270000000000266</v>
      </c>
      <c r="D254">
        <v>0</v>
      </c>
      <c r="E254">
        <v>3.90538787025934E-2</v>
      </c>
      <c r="F254">
        <v>106.447</v>
      </c>
      <c r="G254">
        <v>105.5770987249</v>
      </c>
      <c r="H254">
        <v>3.24</v>
      </c>
      <c r="I254">
        <v>3.73</v>
      </c>
      <c r="J254">
        <v>7.12</v>
      </c>
      <c r="K254">
        <v>3.38</v>
      </c>
      <c r="L254">
        <v>3.49</v>
      </c>
      <c r="M254">
        <v>3.5</v>
      </c>
      <c r="N254">
        <v>3.5</v>
      </c>
      <c r="O254">
        <v>3.5</v>
      </c>
      <c r="P254">
        <v>3.5</v>
      </c>
      <c r="Q254">
        <v>18.803999999999998</v>
      </c>
      <c r="R254">
        <v>259.12700000000001</v>
      </c>
      <c r="S254">
        <v>2.934069613161884</v>
      </c>
      <c r="T254">
        <f t="shared" si="7"/>
        <v>-1.5990380565749085</v>
      </c>
      <c r="U254">
        <v>4.6676472086971756</v>
      </c>
      <c r="V254">
        <v>5.5573182890088404</v>
      </c>
      <c r="W254">
        <v>3.8237406934735501</v>
      </c>
      <c r="X254">
        <v>0</v>
      </c>
      <c r="Y254">
        <v>0</v>
      </c>
      <c r="Z254">
        <v>101.0338</v>
      </c>
      <c r="AA254">
        <v>2.5997679768451989</v>
      </c>
      <c r="AB254">
        <v>1.55</v>
      </c>
      <c r="AC254">
        <v>1.628595281</v>
      </c>
      <c r="AD254">
        <v>3.5409999999999999</v>
      </c>
      <c r="AE254">
        <v>0</v>
      </c>
      <c r="AF254">
        <v>0</v>
      </c>
      <c r="AG254">
        <v>0</v>
      </c>
    </row>
    <row r="255" spans="1:33" x14ac:dyDescent="0.25">
      <c r="A255" s="1">
        <v>43862</v>
      </c>
      <c r="B255">
        <v>98.913600000000002</v>
      </c>
      <c r="C255">
        <f t="shared" si="6"/>
        <v>-1.0073000000000008</v>
      </c>
      <c r="D255">
        <v>0</v>
      </c>
      <c r="E255">
        <v>3.02974548258002E-2</v>
      </c>
      <c r="F255">
        <v>106.889</v>
      </c>
      <c r="G255">
        <v>105.96143035190001</v>
      </c>
      <c r="H255">
        <v>3.7</v>
      </c>
      <c r="I255">
        <v>3.66</v>
      </c>
      <c r="J255">
        <v>6.96</v>
      </c>
      <c r="K255">
        <v>3.44</v>
      </c>
      <c r="L255">
        <v>3.48</v>
      </c>
      <c r="M255">
        <v>3.5</v>
      </c>
      <c r="N255">
        <v>3.5</v>
      </c>
      <c r="O255">
        <v>3.5</v>
      </c>
      <c r="P255">
        <v>3.44</v>
      </c>
      <c r="Q255">
        <v>18.8443</v>
      </c>
      <c r="R255">
        <v>259.25</v>
      </c>
      <c r="S255">
        <v>2.9362104808978668</v>
      </c>
      <c r="T255">
        <f t="shared" si="7"/>
        <v>0.21408677359828765</v>
      </c>
      <c r="U255">
        <v>4.6717909128299864</v>
      </c>
      <c r="V255">
        <v>5.5577928471096367</v>
      </c>
      <c r="W255">
        <v>3.8222124151775172</v>
      </c>
      <c r="X255">
        <v>0</v>
      </c>
      <c r="Y255">
        <v>1</v>
      </c>
      <c r="Z255">
        <v>101.37350000000001</v>
      </c>
      <c r="AA255">
        <v>2.3413166797595175</v>
      </c>
      <c r="AB255">
        <v>1.58</v>
      </c>
      <c r="AC255">
        <v>1.4138110509999999</v>
      </c>
      <c r="AD255">
        <v>3.49</v>
      </c>
      <c r="AE255">
        <v>0</v>
      </c>
      <c r="AF255" s="5">
        <v>0</v>
      </c>
      <c r="AG255">
        <v>0</v>
      </c>
    </row>
    <row r="256" spans="1:33" x14ac:dyDescent="0.25">
      <c r="A256" s="1">
        <v>43891</v>
      </c>
      <c r="B256">
        <v>95.666200000000003</v>
      </c>
      <c r="C256">
        <f t="shared" si="6"/>
        <v>-3.247399999999999</v>
      </c>
      <c r="D256">
        <v>0</v>
      </c>
      <c r="E256">
        <v>-1.8642906822492499E-3</v>
      </c>
      <c r="F256">
        <v>106.83799999999999</v>
      </c>
      <c r="G256">
        <v>106.272453486</v>
      </c>
      <c r="H256">
        <v>3.25</v>
      </c>
      <c r="I256">
        <v>3.6</v>
      </c>
      <c r="J256">
        <v>6.81</v>
      </c>
      <c r="K256">
        <v>3.34</v>
      </c>
      <c r="L256">
        <v>3.53</v>
      </c>
      <c r="M256">
        <v>3.5</v>
      </c>
      <c r="N256">
        <v>3.5</v>
      </c>
      <c r="O256">
        <v>3.5</v>
      </c>
      <c r="P256">
        <v>3.48</v>
      </c>
      <c r="Q256">
        <v>22.378399999999999</v>
      </c>
      <c r="R256">
        <v>258.07600000000002</v>
      </c>
      <c r="S256">
        <v>3.108096207924143</v>
      </c>
      <c r="T256">
        <f t="shared" si="7"/>
        <v>17.188572702627614</v>
      </c>
      <c r="U256">
        <v>4.6713136684858654</v>
      </c>
      <c r="V256">
        <v>5.5532541151867312</v>
      </c>
      <c r="W256">
        <v>3.9900366546250079</v>
      </c>
      <c r="X256">
        <v>-0.19047619047619069</v>
      </c>
      <c r="Y256">
        <v>-46</v>
      </c>
      <c r="Z256">
        <v>97.407799999999995</v>
      </c>
      <c r="AA256">
        <v>1.494039964290925</v>
      </c>
      <c r="AB256">
        <v>0.65</v>
      </c>
      <c r="AC256">
        <v>0.69136393679999997</v>
      </c>
      <c r="AD256">
        <v>3.7690000000000001</v>
      </c>
      <c r="AE256">
        <v>0</v>
      </c>
      <c r="AF256" s="5">
        <v>0</v>
      </c>
      <c r="AG256">
        <v>0</v>
      </c>
    </row>
    <row r="257" spans="1:33" x14ac:dyDescent="0.25">
      <c r="A257" s="1">
        <v>43922</v>
      </c>
      <c r="B257">
        <v>77.612499999999997</v>
      </c>
      <c r="C257">
        <f t="shared" si="6"/>
        <v>-18.053700000000006</v>
      </c>
      <c r="D257">
        <v>0</v>
      </c>
      <c r="E257">
        <v>-0.209971024257747</v>
      </c>
      <c r="F257">
        <v>105.755</v>
      </c>
      <c r="G257">
        <v>106.6539270353</v>
      </c>
      <c r="H257">
        <v>2.15</v>
      </c>
      <c r="I257">
        <v>3.5</v>
      </c>
      <c r="J257">
        <v>6.09</v>
      </c>
      <c r="K257">
        <v>3.73</v>
      </c>
      <c r="L257">
        <v>3.38</v>
      </c>
      <c r="M257">
        <v>3.5</v>
      </c>
      <c r="N257">
        <v>3.5</v>
      </c>
      <c r="O257">
        <v>3.5</v>
      </c>
      <c r="P257">
        <v>3.45</v>
      </c>
      <c r="Q257">
        <v>24.265799999999999</v>
      </c>
      <c r="R257">
        <v>256.03199999999998</v>
      </c>
      <c r="S257">
        <v>3.1890679516110461</v>
      </c>
      <c r="T257">
        <f t="shared" si="7"/>
        <v>8.0971743686903075</v>
      </c>
      <c r="U257">
        <v>4.6611250981325378</v>
      </c>
      <c r="V257">
        <v>5.5453024366677131</v>
      </c>
      <c r="W257">
        <v>4.0732452901462208</v>
      </c>
      <c r="X257">
        <v>-0.70000000000000018</v>
      </c>
      <c r="Y257">
        <v>-25</v>
      </c>
      <c r="Z257">
        <v>84.561899999999994</v>
      </c>
      <c r="AA257">
        <v>0.31304729404112253</v>
      </c>
      <c r="AB257">
        <v>0.05</v>
      </c>
      <c r="AC257">
        <v>0.49737772740000002</v>
      </c>
      <c r="AD257">
        <v>3.5550000000000002</v>
      </c>
      <c r="AE257">
        <v>0</v>
      </c>
      <c r="AF257" s="5">
        <v>0</v>
      </c>
      <c r="AG257">
        <v>0</v>
      </c>
    </row>
    <row r="258" spans="1:33" x14ac:dyDescent="0.25">
      <c r="A258" s="1">
        <v>43952</v>
      </c>
      <c r="B258">
        <v>76.164400000000001</v>
      </c>
      <c r="C258">
        <f t="shared" si="6"/>
        <v>-1.4480999999999966</v>
      </c>
      <c r="D258">
        <v>0</v>
      </c>
      <c r="E258">
        <v>-0.227999907800019</v>
      </c>
      <c r="F258">
        <v>106.16200000000001</v>
      </c>
      <c r="G258">
        <v>106.9723900602</v>
      </c>
      <c r="H258">
        <v>2.84</v>
      </c>
      <c r="I258">
        <v>3.64</v>
      </c>
      <c r="J258">
        <v>5.47</v>
      </c>
      <c r="K258">
        <v>3.58</v>
      </c>
      <c r="L258">
        <v>3.29</v>
      </c>
      <c r="M258">
        <v>3.5</v>
      </c>
      <c r="N258">
        <v>3.5</v>
      </c>
      <c r="O258">
        <v>3.5</v>
      </c>
      <c r="P258">
        <v>3.49</v>
      </c>
      <c r="Q258">
        <v>23.422999999999998</v>
      </c>
      <c r="R258">
        <v>255.80199999999999</v>
      </c>
      <c r="S258">
        <v>3.1537184456107732</v>
      </c>
      <c r="T258">
        <f t="shared" si="7"/>
        <v>-3.5349506000272868</v>
      </c>
      <c r="U258">
        <v>4.6649662293340572</v>
      </c>
      <c r="V258">
        <v>5.5444037077224646</v>
      </c>
      <c r="W258">
        <v>4.0331559239991801</v>
      </c>
      <c r="X258">
        <v>-0.39999999999999947</v>
      </c>
      <c r="Y258">
        <v>2</v>
      </c>
      <c r="Z258">
        <v>85.960400000000007</v>
      </c>
      <c r="AA258">
        <v>0.19820130358485843</v>
      </c>
      <c r="AB258">
        <v>0.05</v>
      </c>
      <c r="AC258">
        <v>0.4798209309</v>
      </c>
      <c r="AD258">
        <v>3.4460000000000002</v>
      </c>
      <c r="AE258">
        <v>0</v>
      </c>
      <c r="AF258" s="5">
        <v>0</v>
      </c>
      <c r="AG258">
        <v>0</v>
      </c>
    </row>
    <row r="259" spans="1:33" x14ac:dyDescent="0.25">
      <c r="A259" s="1">
        <v>43983</v>
      </c>
      <c r="B259">
        <v>85.193899999999999</v>
      </c>
      <c r="C259">
        <f t="shared" si="6"/>
        <v>9.0294999999999987</v>
      </c>
      <c r="D259">
        <v>0</v>
      </c>
      <c r="E259">
        <v>-0.11540280871703699</v>
      </c>
      <c r="F259">
        <v>106.74299999999999</v>
      </c>
      <c r="G259">
        <v>107.36589626999999</v>
      </c>
      <c r="H259">
        <v>3.33</v>
      </c>
      <c r="I259">
        <v>3.71</v>
      </c>
      <c r="J259">
        <v>5.0599999999999996</v>
      </c>
      <c r="K259">
        <v>3.6</v>
      </c>
      <c r="L259">
        <v>3.4</v>
      </c>
      <c r="M259">
        <v>3.5</v>
      </c>
      <c r="N259">
        <v>3.5</v>
      </c>
      <c r="O259">
        <v>3.5</v>
      </c>
      <c r="P259">
        <v>3.5</v>
      </c>
      <c r="Q259">
        <v>22.298999999999999</v>
      </c>
      <c r="R259">
        <v>257.04199999999997</v>
      </c>
      <c r="S259">
        <v>3.1045418344112661</v>
      </c>
      <c r="T259">
        <f t="shared" si="7"/>
        <v>-4.9176611199507114</v>
      </c>
      <c r="U259">
        <v>4.6704240761881888</v>
      </c>
      <c r="V259">
        <v>5.5492394956674662</v>
      </c>
      <c r="W259">
        <v>3.983357253890544</v>
      </c>
      <c r="X259">
        <v>0</v>
      </c>
      <c r="Y259">
        <v>-5.5</v>
      </c>
      <c r="Z259">
        <v>91.593400000000003</v>
      </c>
      <c r="AA259">
        <v>0.71665628318305863</v>
      </c>
      <c r="AB259">
        <v>0.08</v>
      </c>
      <c r="AC259">
        <v>0.40381232350000001</v>
      </c>
      <c r="AD259">
        <v>3.794</v>
      </c>
      <c r="AE259">
        <v>0</v>
      </c>
      <c r="AF259">
        <v>0</v>
      </c>
      <c r="AG259">
        <v>-6.0604550832258353E-3</v>
      </c>
    </row>
    <row r="260" spans="1:33" x14ac:dyDescent="0.25">
      <c r="A260" s="1">
        <v>44013</v>
      </c>
      <c r="B260">
        <v>89.508499999999998</v>
      </c>
      <c r="C260">
        <f t="shared" ref="C260:C323" si="8">B260-B259</f>
        <v>4.3145999999999987</v>
      </c>
      <c r="D260">
        <v>0</v>
      </c>
      <c r="E260">
        <v>-6.5685474555470705E-2</v>
      </c>
      <c r="F260">
        <v>107.444</v>
      </c>
      <c r="G260">
        <v>107.79097173389999</v>
      </c>
      <c r="H260">
        <v>3.62</v>
      </c>
      <c r="I260">
        <v>3.85</v>
      </c>
      <c r="J260">
        <v>4.82</v>
      </c>
      <c r="K260">
        <v>3.55</v>
      </c>
      <c r="L260">
        <v>3.4</v>
      </c>
      <c r="M260">
        <v>3.5</v>
      </c>
      <c r="N260">
        <v>3.5</v>
      </c>
      <c r="O260">
        <v>3.5</v>
      </c>
      <c r="P260">
        <v>3.48</v>
      </c>
      <c r="Q260">
        <v>22.403300000000002</v>
      </c>
      <c r="R260">
        <v>258.35199999999998</v>
      </c>
      <c r="S260">
        <v>3.1092082694388301</v>
      </c>
      <c r="T260">
        <f t="shared" ref="T260:T323" si="9">(S260-S259)*100</f>
        <v>0.46664350275640309</v>
      </c>
      <c r="U260">
        <v>4.6769697816038658</v>
      </c>
      <c r="V260">
        <v>5.5543229961392653</v>
      </c>
      <c r="W260">
        <v>3.98656148397423</v>
      </c>
      <c r="X260">
        <v>0</v>
      </c>
      <c r="Y260">
        <v>0</v>
      </c>
      <c r="Z260">
        <v>95.025599999999997</v>
      </c>
      <c r="AA260">
        <v>0.99686476258980894</v>
      </c>
      <c r="AB260">
        <v>0.09</v>
      </c>
      <c r="AC260">
        <v>0.25257836830000002</v>
      </c>
      <c r="AD260">
        <v>3.5230000000000001</v>
      </c>
      <c r="AE260">
        <v>0</v>
      </c>
      <c r="AF260">
        <v>0</v>
      </c>
      <c r="AG260">
        <v>0</v>
      </c>
    </row>
    <row r="261" spans="1:33" x14ac:dyDescent="0.25">
      <c r="A261" s="1">
        <v>44044</v>
      </c>
      <c r="B261">
        <v>92.135999999999996</v>
      </c>
      <c r="C261">
        <f t="shared" si="8"/>
        <v>2.6274999999999977</v>
      </c>
      <c r="D261">
        <v>-0.5</v>
      </c>
      <c r="E261">
        <v>-3.6683404599767003E-2</v>
      </c>
      <c r="F261">
        <v>107.867</v>
      </c>
      <c r="G261">
        <v>108.1324538714</v>
      </c>
      <c r="H261">
        <v>4.05</v>
      </c>
      <c r="I261">
        <v>3.97</v>
      </c>
      <c r="J261">
        <v>4.49</v>
      </c>
      <c r="K261">
        <v>3.56</v>
      </c>
      <c r="L261">
        <v>3.48</v>
      </c>
      <c r="M261">
        <v>3.5</v>
      </c>
      <c r="N261">
        <v>3.5</v>
      </c>
      <c r="O261">
        <v>3.5</v>
      </c>
      <c r="P261">
        <v>3.5</v>
      </c>
      <c r="Q261">
        <v>22.2072</v>
      </c>
      <c r="R261">
        <v>259.31599999999997</v>
      </c>
      <c r="S261">
        <v>3.100416560620793</v>
      </c>
      <c r="T261">
        <f t="shared" si="9"/>
        <v>-0.87917088180371472</v>
      </c>
      <c r="U261">
        <v>4.6808989867463104</v>
      </c>
      <c r="V261">
        <v>5.5580473952302478</v>
      </c>
      <c r="W261">
        <v>3.9775649691047299</v>
      </c>
      <c r="X261">
        <v>0</v>
      </c>
      <c r="Y261">
        <v>3</v>
      </c>
      <c r="Z261">
        <v>95.954899999999995</v>
      </c>
      <c r="AA261">
        <v>1.281069849552396</v>
      </c>
      <c r="AB261">
        <v>0.1</v>
      </c>
      <c r="AC261">
        <v>0.2603829312</v>
      </c>
      <c r="AD261">
        <v>3.7942801183547008</v>
      </c>
      <c r="AE261">
        <v>0</v>
      </c>
      <c r="AF261">
        <v>-0.5</v>
      </c>
      <c r="AG261">
        <v>-0.28040244048353025</v>
      </c>
    </row>
    <row r="262" spans="1:33" x14ac:dyDescent="0.25">
      <c r="A262" s="1">
        <v>44075</v>
      </c>
      <c r="B262">
        <v>94.634799999999998</v>
      </c>
      <c r="C262">
        <f t="shared" si="8"/>
        <v>2.4988000000000028</v>
      </c>
      <c r="D262">
        <v>-0.75</v>
      </c>
      <c r="E262">
        <v>-1.00888701625905E-2</v>
      </c>
      <c r="F262">
        <v>108.114</v>
      </c>
      <c r="G262">
        <v>108.4737242942</v>
      </c>
      <c r="H262">
        <v>4.01</v>
      </c>
      <c r="I262">
        <v>3.99</v>
      </c>
      <c r="J262">
        <v>4.38</v>
      </c>
      <c r="K262">
        <v>3.6</v>
      </c>
      <c r="L262">
        <v>3.43</v>
      </c>
      <c r="M262">
        <v>3.5</v>
      </c>
      <c r="N262">
        <v>3.5</v>
      </c>
      <c r="O262">
        <v>3.5</v>
      </c>
      <c r="P262">
        <v>3.5</v>
      </c>
      <c r="Q262">
        <v>21.681000000000001</v>
      </c>
      <c r="R262">
        <v>259.99700000000001</v>
      </c>
      <c r="S262">
        <v>3.0764363009689539</v>
      </c>
      <c r="T262">
        <f t="shared" si="9"/>
        <v>-2.3980259651839031</v>
      </c>
      <c r="U262">
        <v>4.6831862259727322</v>
      </c>
      <c r="V262">
        <v>5.5606700924874204</v>
      </c>
      <c r="W262">
        <v>3.9539201674836422</v>
      </c>
      <c r="X262">
        <v>0</v>
      </c>
      <c r="Y262">
        <v>-5</v>
      </c>
      <c r="Z262">
        <v>95.966899999999995</v>
      </c>
      <c r="AA262">
        <v>1.3910228912373777</v>
      </c>
      <c r="AB262">
        <v>0.09</v>
      </c>
      <c r="AC262">
        <v>7.9072559220000005E-2</v>
      </c>
      <c r="AD262">
        <v>3.7745212763409062</v>
      </c>
      <c r="AE262">
        <v>0</v>
      </c>
      <c r="AF262">
        <v>-0.75</v>
      </c>
      <c r="AG262">
        <v>-0.41756191105073831</v>
      </c>
    </row>
    <row r="263" spans="1:33" x14ac:dyDescent="0.25">
      <c r="A263" s="1">
        <v>44105</v>
      </c>
      <c r="B263">
        <v>95.642700000000005</v>
      </c>
      <c r="C263">
        <f t="shared" si="8"/>
        <v>1.0079000000000065</v>
      </c>
      <c r="D263">
        <v>0</v>
      </c>
      <c r="E263">
        <v>1.1662741130802299E-4</v>
      </c>
      <c r="F263">
        <v>108.774</v>
      </c>
      <c r="G263">
        <v>108.7334478102</v>
      </c>
      <c r="H263">
        <v>4.09</v>
      </c>
      <c r="I263">
        <v>3.98</v>
      </c>
      <c r="J263">
        <v>4.2</v>
      </c>
      <c r="K263">
        <v>3.67</v>
      </c>
      <c r="L263">
        <v>3.43</v>
      </c>
      <c r="M263">
        <v>3.5</v>
      </c>
      <c r="N263">
        <v>3.5</v>
      </c>
      <c r="O263">
        <v>3.5</v>
      </c>
      <c r="P263">
        <v>3.5</v>
      </c>
      <c r="Q263">
        <v>21.270499999999998</v>
      </c>
      <c r="R263">
        <v>260.31900000000002</v>
      </c>
      <c r="S263">
        <v>3.0573211362231132</v>
      </c>
      <c r="T263">
        <f t="shared" si="9"/>
        <v>-1.911516474584074</v>
      </c>
      <c r="U263">
        <v>4.6892723352755858</v>
      </c>
      <c r="V263">
        <v>5.5619078020374122</v>
      </c>
      <c r="W263">
        <v>3.9299566029849391</v>
      </c>
      <c r="X263">
        <v>0</v>
      </c>
      <c r="Y263">
        <v>0</v>
      </c>
      <c r="Z263">
        <v>96.739400000000003</v>
      </c>
      <c r="AA263">
        <v>1.2303863428671598</v>
      </c>
      <c r="AB263">
        <v>0.09</v>
      </c>
      <c r="AC263">
        <v>0.17197914</v>
      </c>
      <c r="AD263">
        <v>3.8410427111206822</v>
      </c>
      <c r="AE263">
        <v>0</v>
      </c>
      <c r="AF263">
        <v>0</v>
      </c>
      <c r="AG263">
        <v>0</v>
      </c>
    </row>
    <row r="264" spans="1:33" x14ac:dyDescent="0.25">
      <c r="A264" s="1">
        <v>44136</v>
      </c>
      <c r="B264">
        <v>96.382400000000004</v>
      </c>
      <c r="C264">
        <f t="shared" si="8"/>
        <v>0.73969999999999914</v>
      </c>
      <c r="D264">
        <v>3</v>
      </c>
      <c r="E264">
        <v>7.2206535033894096E-3</v>
      </c>
      <c r="F264">
        <v>108.85599999999999</v>
      </c>
      <c r="G264">
        <v>108.6418313236</v>
      </c>
      <c r="H264">
        <v>3.33</v>
      </c>
      <c r="I264">
        <v>3.66</v>
      </c>
      <c r="J264">
        <v>4.2300000000000004</v>
      </c>
      <c r="K264">
        <v>3.71</v>
      </c>
      <c r="L264">
        <v>3.5</v>
      </c>
      <c r="M264">
        <v>3.5</v>
      </c>
      <c r="N264">
        <v>3.5</v>
      </c>
      <c r="O264">
        <v>3.5</v>
      </c>
      <c r="P264">
        <v>3.5</v>
      </c>
      <c r="Q264">
        <v>20.381900000000002</v>
      </c>
      <c r="R264">
        <v>260.911</v>
      </c>
      <c r="S264">
        <v>3.014647252104603</v>
      </c>
      <c r="T264">
        <f t="shared" si="9"/>
        <v>-4.2673884118510141</v>
      </c>
      <c r="U264">
        <v>4.6900259078885584</v>
      </c>
      <c r="V264">
        <v>5.5641793530016974</v>
      </c>
      <c r="W264">
        <v>3.8888006972177429</v>
      </c>
      <c r="X264">
        <v>0.15789473684210531</v>
      </c>
      <c r="Y264">
        <v>11.5</v>
      </c>
      <c r="Z264">
        <v>97.081599999999995</v>
      </c>
      <c r="AA264">
        <v>1.1757452138405928</v>
      </c>
      <c r="AB264">
        <v>0.09</v>
      </c>
      <c r="AC264">
        <v>-0.22662215599999999</v>
      </c>
      <c r="AD264">
        <v>3.7455416413873399</v>
      </c>
      <c r="AE264">
        <v>0.15789473684210531</v>
      </c>
      <c r="AF264">
        <v>3</v>
      </c>
      <c r="AG264">
        <v>1.9142988763200726</v>
      </c>
    </row>
    <row r="265" spans="1:33" x14ac:dyDescent="0.25">
      <c r="A265" s="1">
        <v>44166</v>
      </c>
      <c r="B265">
        <v>96.0989</v>
      </c>
      <c r="C265">
        <f t="shared" si="8"/>
        <v>-0.28350000000000364</v>
      </c>
      <c r="D265">
        <v>0.75</v>
      </c>
      <c r="E265">
        <v>3.4750778490924002E-3</v>
      </c>
      <c r="F265">
        <v>109.271</v>
      </c>
      <c r="G265">
        <v>109.2367108017</v>
      </c>
      <c r="H265">
        <v>3.15</v>
      </c>
      <c r="I265">
        <v>3.8</v>
      </c>
      <c r="J265">
        <v>4.2699999999999996</v>
      </c>
      <c r="K265">
        <f>AVERAGE(K264,K266)</f>
        <v>3.62</v>
      </c>
      <c r="L265">
        <f>AVERAGE(L264,L266)</f>
        <v>3.52</v>
      </c>
      <c r="M265">
        <v>3.5</v>
      </c>
      <c r="N265">
        <v>3.49</v>
      </c>
      <c r="O265">
        <v>3.5</v>
      </c>
      <c r="P265">
        <v>3.5</v>
      </c>
      <c r="Q265">
        <v>19.9651</v>
      </c>
      <c r="R265">
        <v>262.04500000000002</v>
      </c>
      <c r="S265">
        <v>2.99398574926798</v>
      </c>
      <c r="T265">
        <f t="shared" si="9"/>
        <v>-2.0661502836623047</v>
      </c>
      <c r="U265">
        <v>4.6938310351834982</v>
      </c>
      <c r="V265">
        <v>5.5685162447379621</v>
      </c>
      <c r="W265">
        <v>3.8686709588224431</v>
      </c>
      <c r="X265">
        <v>0.13636363636363669</v>
      </c>
      <c r="Y265">
        <v>-4</v>
      </c>
      <c r="Z265">
        <v>98.363</v>
      </c>
      <c r="AA265">
        <v>1.3204191315779377</v>
      </c>
      <c r="AB265">
        <v>0.09</v>
      </c>
      <c r="AC265">
        <v>-0.28766570409999997</v>
      </c>
      <c r="AD265">
        <v>3.6072297472907739</v>
      </c>
      <c r="AE265">
        <v>0.13636363636363669</v>
      </c>
      <c r="AF265">
        <v>0.75</v>
      </c>
      <c r="AG265">
        <v>0.42601953032254547</v>
      </c>
    </row>
    <row r="266" spans="1:33" x14ac:dyDescent="0.25">
      <c r="A266" s="1">
        <v>44197</v>
      </c>
      <c r="B266">
        <v>96.150800000000004</v>
      </c>
      <c r="C266">
        <f t="shared" si="8"/>
        <v>5.1900000000003388E-2</v>
      </c>
      <c r="D266">
        <v>0</v>
      </c>
      <c r="E266">
        <v>3.0270379596029099E-3</v>
      </c>
      <c r="F266">
        <v>110.21</v>
      </c>
      <c r="G266">
        <v>109.6288967959</v>
      </c>
      <c r="H266">
        <v>3.54</v>
      </c>
      <c r="I266">
        <v>3.84</v>
      </c>
      <c r="J266">
        <v>4.22</v>
      </c>
      <c r="K266">
        <v>3.53</v>
      </c>
      <c r="L266">
        <v>3.54</v>
      </c>
      <c r="M266">
        <v>3.5</v>
      </c>
      <c r="N266">
        <v>3.5</v>
      </c>
      <c r="O266">
        <v>3.5</v>
      </c>
      <c r="P266">
        <v>3.5</v>
      </c>
      <c r="Q266">
        <v>19.921500000000002</v>
      </c>
      <c r="R266">
        <v>262.68700000000001</v>
      </c>
      <c r="S266">
        <v>2.9917995505262782</v>
      </c>
      <c r="T266">
        <f t="shared" si="9"/>
        <v>-0.21861987417017836</v>
      </c>
      <c r="U266">
        <v>4.7023876367034507</v>
      </c>
      <c r="V266">
        <v>5.5709632093611923</v>
      </c>
      <c r="W266">
        <v>3.8603751231840189</v>
      </c>
      <c r="X266">
        <v>0</v>
      </c>
      <c r="Y266">
        <v>0</v>
      </c>
      <c r="Z266">
        <v>98.882199999999997</v>
      </c>
      <c r="AA266">
        <v>1.3738437137002326</v>
      </c>
      <c r="AB266">
        <v>0.09</v>
      </c>
      <c r="AC266">
        <v>-0.41564508849999998</v>
      </c>
      <c r="AD266">
        <v>3.7587142027298701</v>
      </c>
      <c r="AE266">
        <v>0</v>
      </c>
      <c r="AF266">
        <v>0</v>
      </c>
      <c r="AG266">
        <v>0</v>
      </c>
    </row>
    <row r="267" spans="1:33" x14ac:dyDescent="0.25">
      <c r="A267" s="1">
        <v>44228</v>
      </c>
      <c r="B267">
        <v>95.532799999999995</v>
      </c>
      <c r="C267">
        <f t="shared" si="8"/>
        <v>-0.61800000000000921</v>
      </c>
      <c r="D267">
        <v>-1</v>
      </c>
      <c r="E267">
        <v>-4.5859545680162501E-3</v>
      </c>
      <c r="F267">
        <v>110.907</v>
      </c>
      <c r="G267">
        <v>110.0609027981</v>
      </c>
      <c r="H267">
        <v>3.76</v>
      </c>
      <c r="I267">
        <v>3.87</v>
      </c>
      <c r="J267">
        <v>4.12</v>
      </c>
      <c r="K267">
        <v>3.36</v>
      </c>
      <c r="L267">
        <v>3.57</v>
      </c>
      <c r="M267">
        <v>3.5</v>
      </c>
      <c r="N267">
        <v>3.5</v>
      </c>
      <c r="O267">
        <v>3.5</v>
      </c>
      <c r="P267">
        <v>3.5</v>
      </c>
      <c r="Q267">
        <v>20.309699999999999</v>
      </c>
      <c r="R267">
        <v>263.57900000000001</v>
      </c>
      <c r="S267">
        <v>3.0110986044344559</v>
      </c>
      <c r="T267">
        <f t="shared" si="9"/>
        <v>1.9299053908177655</v>
      </c>
      <c r="U267">
        <v>4.7086920122922056</v>
      </c>
      <c r="V267">
        <v>5.5743531332939851</v>
      </c>
      <c r="W267">
        <v>3.8767597254362349</v>
      </c>
      <c r="X267">
        <v>0</v>
      </c>
      <c r="Y267">
        <v>-12</v>
      </c>
      <c r="Z267">
        <v>95.614900000000006</v>
      </c>
      <c r="AA267">
        <v>1.6698167791706877</v>
      </c>
      <c r="AB267">
        <v>0.08</v>
      </c>
      <c r="AC267">
        <v>-0.47967877920000002</v>
      </c>
      <c r="AD267">
        <v>3.8733154864098811</v>
      </c>
      <c r="AE267">
        <v>0</v>
      </c>
      <c r="AF267">
        <v>-1</v>
      </c>
      <c r="AG267">
        <v>-0.68383840339013491</v>
      </c>
    </row>
    <row r="268" spans="1:33" x14ac:dyDescent="0.25">
      <c r="A268" s="1">
        <v>44256</v>
      </c>
      <c r="B268">
        <v>97.434100000000001</v>
      </c>
      <c r="C268">
        <f t="shared" si="8"/>
        <v>1.9013000000000062</v>
      </c>
      <c r="D268">
        <v>1</v>
      </c>
      <c r="E268">
        <v>1.37899659605711E-2</v>
      </c>
      <c r="F268">
        <v>111.824</v>
      </c>
      <c r="G268">
        <v>110.653978256</v>
      </c>
      <c r="H268">
        <v>4.67</v>
      </c>
      <c r="I268">
        <v>4.12</v>
      </c>
      <c r="J268">
        <v>4.05</v>
      </c>
      <c r="K268">
        <v>3.17</v>
      </c>
      <c r="L268">
        <v>3.55</v>
      </c>
      <c r="M268">
        <v>3.5</v>
      </c>
      <c r="N268">
        <v>3.5</v>
      </c>
      <c r="O268">
        <v>3.5</v>
      </c>
      <c r="P268">
        <v>3.5</v>
      </c>
      <c r="Q268">
        <v>20.755500000000001</v>
      </c>
      <c r="R268">
        <v>264.96100000000001</v>
      </c>
      <c r="S268">
        <v>3.0328112717954121</v>
      </c>
      <c r="T268">
        <f t="shared" si="9"/>
        <v>2.1712667360956228</v>
      </c>
      <c r="U268">
        <v>4.7169262067347733</v>
      </c>
      <c r="V268">
        <v>5.5795826453443622</v>
      </c>
      <c r="W268">
        <v>3.8954677104050002</v>
      </c>
      <c r="X268">
        <v>0</v>
      </c>
      <c r="Y268">
        <v>-6</v>
      </c>
      <c r="Z268">
        <v>98.385599999999997</v>
      </c>
      <c r="AA268">
        <v>2.6678187820641943</v>
      </c>
      <c r="AB268">
        <v>7.0000000000000007E-2</v>
      </c>
      <c r="AC268">
        <v>-1.561513881</v>
      </c>
      <c r="AD268">
        <v>3.9694751842103502</v>
      </c>
      <c r="AE268">
        <v>0</v>
      </c>
      <c r="AF268">
        <v>1</v>
      </c>
      <c r="AG268">
        <v>0.60037244603348228</v>
      </c>
    </row>
    <row r="269" spans="1:33" x14ac:dyDescent="0.25">
      <c r="A269" s="1">
        <v>44287</v>
      </c>
      <c r="B269">
        <v>97.249099999999999</v>
      </c>
      <c r="C269">
        <f t="shared" si="8"/>
        <v>-0.18500000000000227</v>
      </c>
      <c r="D269">
        <v>0</v>
      </c>
      <c r="E269">
        <v>1.04042677499416E-2</v>
      </c>
      <c r="F269">
        <v>112.19</v>
      </c>
      <c r="G269">
        <v>111.0609307746</v>
      </c>
      <c r="H269">
        <v>6.08</v>
      </c>
      <c r="I269">
        <v>4.13</v>
      </c>
      <c r="J269">
        <v>4.07</v>
      </c>
      <c r="K269">
        <v>3.27</v>
      </c>
      <c r="L269">
        <v>3.52</v>
      </c>
      <c r="M269">
        <v>3.5</v>
      </c>
      <c r="N269">
        <v>3.5</v>
      </c>
      <c r="O269">
        <v>3.5</v>
      </c>
      <c r="P269">
        <v>3.5</v>
      </c>
      <c r="Q269">
        <v>20.0153</v>
      </c>
      <c r="R269">
        <v>266.61399999999998</v>
      </c>
      <c r="S269">
        <v>2.9964969810906381</v>
      </c>
      <c r="T269">
        <f t="shared" si="9"/>
        <v>-3.6314290704773988</v>
      </c>
      <c r="U269">
        <v>4.7201938625568731</v>
      </c>
      <c r="V269">
        <v>5.5858019194941244</v>
      </c>
      <c r="W269">
        <v>3.862105038027889</v>
      </c>
      <c r="X269">
        <v>0</v>
      </c>
      <c r="Y269">
        <v>0</v>
      </c>
      <c r="Z269">
        <v>98.558700000000002</v>
      </c>
      <c r="AA269">
        <v>4.1330771153605772</v>
      </c>
      <c r="AB269">
        <v>7.0000000000000007E-2</v>
      </c>
      <c r="AC269">
        <v>-1.7997529800000001</v>
      </c>
      <c r="AD269">
        <v>4.014261892774952</v>
      </c>
      <c r="AE269">
        <v>0</v>
      </c>
      <c r="AF269">
        <v>0</v>
      </c>
      <c r="AG269">
        <v>0</v>
      </c>
    </row>
    <row r="270" spans="1:33" x14ac:dyDescent="0.25">
      <c r="A270" s="1">
        <v>44317</v>
      </c>
      <c r="B270">
        <v>97.253399999999999</v>
      </c>
      <c r="C270">
        <f t="shared" si="8"/>
        <v>4.3000000000006366E-3</v>
      </c>
      <c r="D270">
        <v>0</v>
      </c>
      <c r="E270">
        <v>8.8192214106808092E-3</v>
      </c>
      <c r="F270">
        <v>112.419</v>
      </c>
      <c r="G270">
        <v>111.6442229006</v>
      </c>
      <c r="H270">
        <v>5.89</v>
      </c>
      <c r="I270">
        <v>4.37</v>
      </c>
      <c r="J270">
        <v>4.0599999999999996</v>
      </c>
      <c r="K270">
        <v>3.17</v>
      </c>
      <c r="L270">
        <v>3.46</v>
      </c>
      <c r="M270">
        <v>3.5</v>
      </c>
      <c r="N270">
        <v>3.5</v>
      </c>
      <c r="O270">
        <v>3.5</v>
      </c>
      <c r="P270">
        <v>3.5</v>
      </c>
      <c r="Q270">
        <v>19.963100000000001</v>
      </c>
      <c r="R270">
        <v>268.38299999999998</v>
      </c>
      <c r="S270">
        <v>2.9938855694451152</v>
      </c>
      <c r="T270">
        <f t="shared" si="9"/>
        <v>-0.26114116455229208</v>
      </c>
      <c r="U270">
        <v>4.7222329623199917</v>
      </c>
      <c r="V270">
        <v>5.5924150647905284</v>
      </c>
      <c r="W270">
        <v>3.864067671915651</v>
      </c>
      <c r="X270">
        <v>0</v>
      </c>
      <c r="Y270">
        <v>-3</v>
      </c>
      <c r="Z270">
        <v>99.433300000000003</v>
      </c>
      <c r="AA270">
        <v>4.9182570894676303</v>
      </c>
      <c r="AB270">
        <v>0.06</v>
      </c>
      <c r="AC270">
        <v>-1.9983006189999999</v>
      </c>
      <c r="AD270">
        <v>3.9879167700898921</v>
      </c>
      <c r="AE270">
        <v>0</v>
      </c>
      <c r="AF270">
        <v>0</v>
      </c>
      <c r="AG270">
        <v>-6.0604550832258353E-3</v>
      </c>
    </row>
    <row r="271" spans="1:33" x14ac:dyDescent="0.25">
      <c r="A271" s="1">
        <v>44348</v>
      </c>
      <c r="B271">
        <v>97.090299999999999</v>
      </c>
      <c r="C271">
        <f t="shared" si="8"/>
        <v>-0.16310000000000002</v>
      </c>
      <c r="D271">
        <v>4.5</v>
      </c>
      <c r="E271">
        <v>5.3770785944200501E-3</v>
      </c>
      <c r="F271">
        <v>113.018</v>
      </c>
      <c r="G271">
        <v>112.2811333585</v>
      </c>
      <c r="H271">
        <v>5.88</v>
      </c>
      <c r="I271">
        <v>4.58</v>
      </c>
      <c r="J271">
        <v>4.0199999999999996</v>
      </c>
      <c r="K271">
        <v>3.4</v>
      </c>
      <c r="L271">
        <v>3.68</v>
      </c>
      <c r="M271">
        <v>3.55</v>
      </c>
      <c r="N271">
        <v>3.5</v>
      </c>
      <c r="O271">
        <v>3.5</v>
      </c>
      <c r="P271">
        <v>3.5</v>
      </c>
      <c r="Q271">
        <v>20.030100000000001</v>
      </c>
      <c r="R271">
        <v>270.654</v>
      </c>
      <c r="S271">
        <v>2.9972361421764981</v>
      </c>
      <c r="T271">
        <f t="shared" si="9"/>
        <v>0.33505727313829503</v>
      </c>
      <c r="U271">
        <v>4.7275470980621099</v>
      </c>
      <c r="V271">
        <v>5.6008412523689497</v>
      </c>
      <c r="W271">
        <v>3.870530296483337</v>
      </c>
      <c r="X271">
        <v>5.6818181818181657E-2</v>
      </c>
      <c r="Y271">
        <v>51</v>
      </c>
      <c r="Z271">
        <v>99.798699999999997</v>
      </c>
      <c r="AA271">
        <v>5.2956326203499913</v>
      </c>
      <c r="AB271">
        <v>0.08</v>
      </c>
      <c r="AC271">
        <v>-1.8266872540000001</v>
      </c>
      <c r="AD271">
        <v>3.871339602208502</v>
      </c>
      <c r="AE271">
        <v>5.6818181818181657E-2</v>
      </c>
      <c r="AF271">
        <v>4.5</v>
      </c>
      <c r="AG271">
        <v>2.8744727809552493</v>
      </c>
    </row>
    <row r="272" spans="1:33" x14ac:dyDescent="0.25">
      <c r="A272" s="1">
        <v>44378</v>
      </c>
      <c r="B272">
        <v>96.747399999999999</v>
      </c>
      <c r="C272">
        <f t="shared" si="8"/>
        <v>-0.3429000000000002</v>
      </c>
      <c r="D272">
        <v>0</v>
      </c>
      <c r="E272" s="2">
        <v>-4.9956324534861103E-5</v>
      </c>
      <c r="F272">
        <v>113.682</v>
      </c>
      <c r="G272">
        <v>112.8150767927</v>
      </c>
      <c r="H272">
        <v>5.81</v>
      </c>
      <c r="I272">
        <v>4.66</v>
      </c>
      <c r="J272">
        <v>4.32</v>
      </c>
      <c r="K272">
        <v>3.44</v>
      </c>
      <c r="L272">
        <v>3.75</v>
      </c>
      <c r="M272">
        <v>3.5</v>
      </c>
      <c r="N272">
        <v>3.5</v>
      </c>
      <c r="O272">
        <v>3.5</v>
      </c>
      <c r="P272">
        <v>3.5</v>
      </c>
      <c r="Q272">
        <v>19.970099999999999</v>
      </c>
      <c r="R272">
        <v>271.90300000000002</v>
      </c>
      <c r="S272">
        <v>2.9942361549264529</v>
      </c>
      <c r="T272">
        <f t="shared" si="9"/>
        <v>-0.2999987250045244</v>
      </c>
      <c r="U272">
        <v>4.73340507687828</v>
      </c>
      <c r="V272">
        <v>5.6054453850457433</v>
      </c>
      <c r="W272">
        <v>3.866276463093917</v>
      </c>
      <c r="X272">
        <v>0.25</v>
      </c>
      <c r="Y272">
        <v>0</v>
      </c>
      <c r="Z272">
        <v>100.25190000000001</v>
      </c>
      <c r="AA272">
        <v>5.245169381309239</v>
      </c>
      <c r="AB272">
        <v>0.1</v>
      </c>
      <c r="AC272">
        <v>-1.8898706030000001</v>
      </c>
      <c r="AD272">
        <v>3.9194194511087361</v>
      </c>
      <c r="AE272">
        <v>0.25</v>
      </c>
      <c r="AF272">
        <v>0</v>
      </c>
      <c r="AG272">
        <v>0</v>
      </c>
    </row>
    <row r="273" spans="1:33" x14ac:dyDescent="0.25">
      <c r="A273" s="1">
        <v>44409</v>
      </c>
      <c r="B273">
        <v>96.025899999999993</v>
      </c>
      <c r="C273">
        <f t="shared" si="8"/>
        <v>-0.72150000000000603</v>
      </c>
      <c r="D273">
        <v>0</v>
      </c>
      <c r="E273">
        <v>-9.5411438758752406E-3</v>
      </c>
      <c r="F273">
        <v>113.899</v>
      </c>
      <c r="G273">
        <v>113.2966539131</v>
      </c>
      <c r="H273">
        <v>5.59</v>
      </c>
      <c r="I273">
        <v>4.78</v>
      </c>
      <c r="J273">
        <v>4.46</v>
      </c>
      <c r="K273">
        <v>3.6</v>
      </c>
      <c r="L273">
        <v>3.73</v>
      </c>
      <c r="M273">
        <v>3.51</v>
      </c>
      <c r="N273">
        <v>3.5</v>
      </c>
      <c r="O273">
        <v>3.5</v>
      </c>
      <c r="P273">
        <v>3.5</v>
      </c>
      <c r="Q273">
        <v>20.0761</v>
      </c>
      <c r="R273">
        <v>272.67599999999999</v>
      </c>
      <c r="S273">
        <v>2.999530052852208</v>
      </c>
      <c r="T273">
        <f t="shared" si="9"/>
        <v>0.52938979257550756</v>
      </c>
      <c r="U273">
        <v>4.7353120907833386</v>
      </c>
      <c r="V273">
        <v>5.6082842771776606</v>
      </c>
      <c r="W273">
        <v>3.87250223924653</v>
      </c>
      <c r="X273">
        <v>9.0909090909090828E-2</v>
      </c>
      <c r="Y273">
        <v>-6.5</v>
      </c>
      <c r="Z273">
        <v>100.0437</v>
      </c>
      <c r="AA273">
        <v>5.1520153017939556</v>
      </c>
      <c r="AB273">
        <v>0.09</v>
      </c>
      <c r="AC273">
        <v>-1.7964574069999999</v>
      </c>
      <c r="AD273">
        <v>4.0320448505873676</v>
      </c>
      <c r="AE273">
        <v>0</v>
      </c>
      <c r="AF273">
        <v>0</v>
      </c>
      <c r="AG273">
        <v>-6.0604550832258353E-3</v>
      </c>
    </row>
    <row r="274" spans="1:33" x14ac:dyDescent="0.25">
      <c r="A274" s="1">
        <v>44440</v>
      </c>
      <c r="B274">
        <v>95.799000000000007</v>
      </c>
      <c r="C274">
        <f t="shared" si="8"/>
        <v>-0.22689999999998633</v>
      </c>
      <c r="D274">
        <v>0</v>
      </c>
      <c r="E274">
        <v>-1.40204824659387E-2</v>
      </c>
      <c r="F274">
        <v>114.601</v>
      </c>
      <c r="G274">
        <v>113.8153930916</v>
      </c>
      <c r="H274">
        <v>6</v>
      </c>
      <c r="I274">
        <v>4.92</v>
      </c>
      <c r="J274">
        <v>4.55</v>
      </c>
      <c r="K274">
        <v>3.63</v>
      </c>
      <c r="L274">
        <v>3.69</v>
      </c>
      <c r="M274">
        <v>3.6</v>
      </c>
      <c r="N274">
        <v>3.55</v>
      </c>
      <c r="O274">
        <v>3.5</v>
      </c>
      <c r="P274">
        <v>3.5</v>
      </c>
      <c r="Q274">
        <v>20.0487</v>
      </c>
      <c r="R274">
        <v>273.91000000000003</v>
      </c>
      <c r="S274">
        <v>2.9981643137452729</v>
      </c>
      <c r="T274">
        <f t="shared" si="9"/>
        <v>-0.13657391069350489</v>
      </c>
      <c r="U274">
        <v>4.7414565302460581</v>
      </c>
      <c r="V274">
        <v>5.6127995852776342</v>
      </c>
      <c r="W274">
        <v>3.86950736877685</v>
      </c>
      <c r="X274">
        <v>0</v>
      </c>
      <c r="Y274">
        <v>-4.6999998092651367</v>
      </c>
      <c r="Z274">
        <v>98.857900000000001</v>
      </c>
      <c r="AA274">
        <v>5.3512155909491304</v>
      </c>
      <c r="AB274">
        <v>0.08</v>
      </c>
      <c r="AC274">
        <v>-1.8096493090000001</v>
      </c>
      <c r="AD274">
        <v>4.0221654295804701</v>
      </c>
      <c r="AE274">
        <v>0</v>
      </c>
      <c r="AF274">
        <v>0</v>
      </c>
      <c r="AG274">
        <v>-6.0604550832258353E-3</v>
      </c>
    </row>
    <row r="275" spans="1:33" x14ac:dyDescent="0.25">
      <c r="A275" s="1">
        <v>44470</v>
      </c>
      <c r="B275">
        <v>96.473100000000002</v>
      </c>
      <c r="C275">
        <f t="shared" si="8"/>
        <v>0.6740999999999957</v>
      </c>
      <c r="D275">
        <v>0</v>
      </c>
      <c r="E275">
        <v>-9.2207598266797995E-3</v>
      </c>
      <c r="F275">
        <v>115.56100000000001</v>
      </c>
      <c r="G275">
        <v>114.37796442769999</v>
      </c>
      <c r="H275">
        <v>6.24</v>
      </c>
      <c r="I275">
        <v>5.19</v>
      </c>
      <c r="J275">
        <v>4.84</v>
      </c>
      <c r="K275">
        <v>3.74</v>
      </c>
      <c r="L275">
        <v>3.78</v>
      </c>
      <c r="M275">
        <v>3.6</v>
      </c>
      <c r="N275">
        <v>3.56</v>
      </c>
      <c r="O275">
        <v>3.5</v>
      </c>
      <c r="P275">
        <v>3.5</v>
      </c>
      <c r="Q275">
        <v>20.462599999999998</v>
      </c>
      <c r="R275">
        <v>276.55</v>
      </c>
      <c r="S275">
        <v>3.0185988296737052</v>
      </c>
      <c r="T275">
        <f t="shared" si="9"/>
        <v>2.0434515928432262</v>
      </c>
      <c r="U275">
        <v>4.74979852907392</v>
      </c>
      <c r="V275">
        <v>5.6223916364406872</v>
      </c>
      <c r="W275">
        <v>3.8911919370404719</v>
      </c>
      <c r="X275">
        <v>0</v>
      </c>
      <c r="Y275">
        <v>0</v>
      </c>
      <c r="Z275">
        <v>100.1861</v>
      </c>
      <c r="AA275">
        <v>6.2350423902980543</v>
      </c>
      <c r="AB275">
        <v>0.08</v>
      </c>
      <c r="AC275">
        <v>-1.7021014729999999</v>
      </c>
      <c r="AD275">
        <v>4.2013122638388776</v>
      </c>
      <c r="AE275">
        <v>0</v>
      </c>
      <c r="AF275">
        <v>0</v>
      </c>
      <c r="AG275">
        <v>0</v>
      </c>
    </row>
    <row r="276" spans="1:33" x14ac:dyDescent="0.25">
      <c r="A276" s="1">
        <v>44501</v>
      </c>
      <c r="B276">
        <v>97.099599999999995</v>
      </c>
      <c r="C276">
        <f t="shared" si="8"/>
        <v>0.62649999999999295</v>
      </c>
      <c r="D276">
        <v>-1</v>
      </c>
      <c r="E276">
        <v>-5.0482360264014802E-3</v>
      </c>
      <c r="F276">
        <v>116.884</v>
      </c>
      <c r="G276">
        <v>114.7990637102</v>
      </c>
      <c r="H276">
        <v>7.37</v>
      </c>
      <c r="I276">
        <v>5.67</v>
      </c>
      <c r="J276">
        <v>5.05</v>
      </c>
      <c r="K276">
        <v>4</v>
      </c>
      <c r="L276">
        <v>3.93</v>
      </c>
      <c r="M276">
        <v>3.68</v>
      </c>
      <c r="N276">
        <v>3.6</v>
      </c>
      <c r="O276">
        <v>3.5</v>
      </c>
      <c r="P276">
        <v>3.5</v>
      </c>
      <c r="Q276">
        <v>20.900400000000001</v>
      </c>
      <c r="R276">
        <v>278.91899999999998</v>
      </c>
      <c r="S276">
        <v>3.0397682975436031</v>
      </c>
      <c r="T276">
        <f t="shared" si="9"/>
        <v>2.1169467869897929</v>
      </c>
      <c r="U276">
        <v>4.7611819899916847</v>
      </c>
      <c r="V276">
        <v>5.6309214170889614</v>
      </c>
      <c r="W276">
        <v>3.9095077246408789</v>
      </c>
      <c r="X276">
        <v>0</v>
      </c>
      <c r="Y276">
        <v>0</v>
      </c>
      <c r="Z276">
        <v>100.86539999999999</v>
      </c>
      <c r="AA276">
        <v>6.9019704037008713</v>
      </c>
      <c r="AB276">
        <v>0.08</v>
      </c>
      <c r="AC276">
        <v>-1.8497947640000001</v>
      </c>
      <c r="AD276">
        <v>4.1729912569524394</v>
      </c>
      <c r="AE276">
        <v>0</v>
      </c>
      <c r="AF276">
        <v>-1</v>
      </c>
      <c r="AG276">
        <v>-0.58216710229092095</v>
      </c>
    </row>
    <row r="277" spans="1:33" x14ac:dyDescent="0.25">
      <c r="A277" s="1">
        <v>44531</v>
      </c>
      <c r="B277">
        <v>97.627899999999997</v>
      </c>
      <c r="C277">
        <f t="shared" si="8"/>
        <v>0.52830000000000155</v>
      </c>
      <c r="D277">
        <v>0</v>
      </c>
      <c r="E277">
        <v>-2.0000021136885602E-3</v>
      </c>
      <c r="F277">
        <v>117.30800000000001</v>
      </c>
      <c r="G277">
        <v>115.7207053553</v>
      </c>
      <c r="H277">
        <v>7.36</v>
      </c>
      <c r="I277">
        <v>5.94</v>
      </c>
      <c r="J277">
        <v>5.29</v>
      </c>
      <c r="K277">
        <f>AVERAGE(K276,K278)</f>
        <v>4.13</v>
      </c>
      <c r="L277">
        <f>AVERAGE(L276,L278)</f>
        <v>3.9850000000000003</v>
      </c>
      <c r="M277">
        <v>3.68</v>
      </c>
      <c r="N277">
        <v>3.6</v>
      </c>
      <c r="O277">
        <v>3.5</v>
      </c>
      <c r="P277">
        <v>3.5</v>
      </c>
      <c r="Q277">
        <v>20.8918</v>
      </c>
      <c r="R277">
        <v>280.84500000000003</v>
      </c>
      <c r="S277">
        <v>3.0393567374859169</v>
      </c>
      <c r="T277">
        <f t="shared" si="9"/>
        <v>-4.1156005768616666E-2</v>
      </c>
      <c r="U277">
        <v>4.7648029545273554</v>
      </c>
      <c r="V277">
        <v>5.6378029157222258</v>
      </c>
      <c r="W277">
        <v>3.9123566986807878</v>
      </c>
      <c r="X277">
        <v>0.13043478260869623</v>
      </c>
      <c r="Y277">
        <v>18</v>
      </c>
      <c r="Z277">
        <v>100.57259999999999</v>
      </c>
      <c r="AA277">
        <v>7.1743402850655462</v>
      </c>
      <c r="AB277">
        <v>0.08</v>
      </c>
      <c r="AC277">
        <v>-1.1548185070000001</v>
      </c>
      <c r="AD277">
        <v>4.1901155866977273</v>
      </c>
      <c r="AE277">
        <v>0</v>
      </c>
      <c r="AF277" s="5">
        <v>0</v>
      </c>
      <c r="AG277">
        <v>0</v>
      </c>
    </row>
    <row r="278" spans="1:33" x14ac:dyDescent="0.25">
      <c r="A278" s="1">
        <v>44562</v>
      </c>
      <c r="B278">
        <v>98.263199999999998</v>
      </c>
      <c r="C278">
        <f t="shared" si="8"/>
        <v>0.63530000000000086</v>
      </c>
      <c r="D278">
        <v>0</v>
      </c>
      <c r="E278">
        <v>2.0424708284290101E-3</v>
      </c>
      <c r="F278">
        <v>118.002</v>
      </c>
      <c r="G278">
        <v>116.4327212899</v>
      </c>
      <c r="H278">
        <v>7.07</v>
      </c>
      <c r="I278">
        <v>6.21</v>
      </c>
      <c r="J278">
        <v>5.53</v>
      </c>
      <c r="K278">
        <v>4.26</v>
      </c>
      <c r="L278">
        <v>4.04</v>
      </c>
      <c r="M278">
        <v>3.64</v>
      </c>
      <c r="N278">
        <v>3.6</v>
      </c>
      <c r="O278">
        <v>3.5</v>
      </c>
      <c r="P278">
        <v>3.5</v>
      </c>
      <c r="Q278">
        <v>20.497800000000002</v>
      </c>
      <c r="R278">
        <v>282.54300000000001</v>
      </c>
      <c r="S278">
        <v>3.0203175633123029</v>
      </c>
      <c r="T278">
        <f t="shared" si="9"/>
        <v>-1.9039174173614004</v>
      </c>
      <c r="U278">
        <v>4.7707015734745717</v>
      </c>
      <c r="V278">
        <v>5.6438307513927457</v>
      </c>
      <c r="W278">
        <v>3.893446741230477</v>
      </c>
      <c r="X278">
        <v>0.25</v>
      </c>
      <c r="Y278">
        <v>0</v>
      </c>
      <c r="Z278">
        <v>100.18559999999999</v>
      </c>
      <c r="AA278">
        <v>7.5588057269678339</v>
      </c>
      <c r="AB278">
        <v>0.08</v>
      </c>
      <c r="AC278">
        <v>-0.19742479269999999</v>
      </c>
      <c r="AD278">
        <v>4.1334735729248484</v>
      </c>
      <c r="AE278">
        <v>0.25</v>
      </c>
      <c r="AF278">
        <v>0</v>
      </c>
      <c r="AG278">
        <v>0</v>
      </c>
    </row>
    <row r="279" spans="1:33" x14ac:dyDescent="0.25">
      <c r="A279" s="1">
        <v>44593</v>
      </c>
      <c r="B279">
        <v>98.457400000000007</v>
      </c>
      <c r="C279">
        <f t="shared" si="8"/>
        <v>0.19420000000000925</v>
      </c>
      <c r="D279">
        <v>0.75</v>
      </c>
      <c r="E279">
        <v>1.5185155019317199E-3</v>
      </c>
      <c r="F279">
        <v>118.98099999999999</v>
      </c>
      <c r="G279">
        <v>117.31658513249999</v>
      </c>
      <c r="H279">
        <v>7.28</v>
      </c>
      <c r="I279">
        <v>6.59</v>
      </c>
      <c r="J279">
        <v>5.87</v>
      </c>
      <c r="K279">
        <v>4.21</v>
      </c>
      <c r="L279">
        <v>4.09</v>
      </c>
      <c r="M279">
        <v>3.7</v>
      </c>
      <c r="N279">
        <v>3.6</v>
      </c>
      <c r="O279">
        <v>3.5</v>
      </c>
      <c r="P279">
        <v>3.5</v>
      </c>
      <c r="Q279">
        <v>20.4495</v>
      </c>
      <c r="R279">
        <v>284.5</v>
      </c>
      <c r="S279">
        <v>3.0179584323121569</v>
      </c>
      <c r="T279">
        <f t="shared" si="9"/>
        <v>-0.23591310001460641</v>
      </c>
      <c r="U279">
        <v>4.7789638164983517</v>
      </c>
      <c r="V279">
        <v>5.6507332535663846</v>
      </c>
      <c r="W279">
        <v>3.8897278693801911</v>
      </c>
      <c r="X279">
        <v>7.8947368421052211E-2</v>
      </c>
      <c r="Y279">
        <v>15.5</v>
      </c>
      <c r="Z279">
        <v>100.8064</v>
      </c>
      <c r="AA279">
        <v>7.9372787665178146</v>
      </c>
      <c r="AB279">
        <v>0.08</v>
      </c>
      <c r="AC279">
        <v>0.206380642</v>
      </c>
      <c r="AD279">
        <v>4.0333621067216203</v>
      </c>
      <c r="AE279">
        <v>7.8947368421052211E-2</v>
      </c>
      <c r="AF279">
        <v>0.75</v>
      </c>
      <c r="AG279">
        <v>0.50227300614695602</v>
      </c>
    </row>
    <row r="280" spans="1:33" x14ac:dyDescent="0.25">
      <c r="A280" s="1">
        <v>44621</v>
      </c>
      <c r="B280">
        <v>99.126599999999996</v>
      </c>
      <c r="C280">
        <f t="shared" si="8"/>
        <v>0.66919999999998936</v>
      </c>
      <c r="D280">
        <v>-0.25</v>
      </c>
      <c r="E280">
        <v>5.7508347032602103E-3</v>
      </c>
      <c r="F280">
        <v>120.15900000000001</v>
      </c>
      <c r="G280">
        <v>118.1558694559</v>
      </c>
      <c r="H280">
        <v>7.45</v>
      </c>
      <c r="I280">
        <v>6.78</v>
      </c>
      <c r="J280">
        <v>6.31</v>
      </c>
      <c r="K280">
        <v>4.8099999999999996</v>
      </c>
      <c r="L280">
        <v>4.76</v>
      </c>
      <c r="M280">
        <v>3.73</v>
      </c>
      <c r="N280">
        <v>3.7</v>
      </c>
      <c r="O280">
        <v>3.5</v>
      </c>
      <c r="P280">
        <v>3.5</v>
      </c>
      <c r="Q280">
        <v>20.5562</v>
      </c>
      <c r="R280">
        <v>287.67399999999998</v>
      </c>
      <c r="S280">
        <v>3.023162598602013</v>
      </c>
      <c r="T280">
        <f t="shared" si="9"/>
        <v>0.52041662898560936</v>
      </c>
      <c r="U280">
        <v>4.7888158657441773</v>
      </c>
      <c r="V280">
        <v>5.6618278945585248</v>
      </c>
      <c r="W280">
        <v>3.89617462741636</v>
      </c>
      <c r="X280">
        <v>0</v>
      </c>
      <c r="Y280">
        <v>-5.5</v>
      </c>
      <c r="Z280">
        <v>101.3907</v>
      </c>
      <c r="AA280">
        <v>8.5722049660138531</v>
      </c>
      <c r="AB280">
        <v>0.2</v>
      </c>
      <c r="AC280">
        <v>0.48905857730000002</v>
      </c>
      <c r="AD280">
        <v>4.2500507408062393</v>
      </c>
      <c r="AE280">
        <v>0</v>
      </c>
      <c r="AF280">
        <v>-0.25</v>
      </c>
      <c r="AG280">
        <v>-0.18609378233563054</v>
      </c>
    </row>
    <row r="281" spans="1:33" x14ac:dyDescent="0.25">
      <c r="A281" s="1">
        <v>44652</v>
      </c>
      <c r="B281">
        <v>99.7804</v>
      </c>
      <c r="C281">
        <f t="shared" si="8"/>
        <v>0.65380000000000393</v>
      </c>
      <c r="D281">
        <v>0</v>
      </c>
      <c r="E281">
        <v>9.7512584351386895E-3</v>
      </c>
      <c r="F281">
        <v>120.809</v>
      </c>
      <c r="G281">
        <v>119.0742421729</v>
      </c>
      <c r="H281">
        <v>7.68</v>
      </c>
      <c r="I281">
        <v>7.22</v>
      </c>
      <c r="J281">
        <v>6.56</v>
      </c>
      <c r="K281">
        <v>4.93</v>
      </c>
      <c r="L281">
        <v>4.88</v>
      </c>
      <c r="M281">
        <v>3.76</v>
      </c>
      <c r="N281">
        <v>3.7</v>
      </c>
      <c r="O281">
        <v>3.55</v>
      </c>
      <c r="P281">
        <v>3.5</v>
      </c>
      <c r="Q281">
        <v>20.108799999999999</v>
      </c>
      <c r="R281">
        <v>288.56099999999998</v>
      </c>
      <c r="S281">
        <v>3.001157530199055</v>
      </c>
      <c r="T281">
        <f t="shared" si="9"/>
        <v>-2.2005068402958017</v>
      </c>
      <c r="U281">
        <v>4.7942107860367393</v>
      </c>
      <c r="V281">
        <v>5.6649065020730607</v>
      </c>
      <c r="W281">
        <v>3.8718532462353772</v>
      </c>
      <c r="X281">
        <v>0</v>
      </c>
      <c r="Y281">
        <v>0</v>
      </c>
      <c r="Z281">
        <v>101.44</v>
      </c>
      <c r="AA281">
        <v>8.2317507707772304</v>
      </c>
      <c r="AB281">
        <v>0.33</v>
      </c>
      <c r="AC281">
        <v>0.95517448790000004</v>
      </c>
      <c r="AD281">
        <v>4.472667027494996</v>
      </c>
      <c r="AE281">
        <v>0</v>
      </c>
      <c r="AF281">
        <v>0</v>
      </c>
      <c r="AG281">
        <v>0</v>
      </c>
    </row>
    <row r="282" spans="1:33" x14ac:dyDescent="0.25">
      <c r="A282" s="1">
        <v>44682</v>
      </c>
      <c r="B282">
        <v>99.806600000000003</v>
      </c>
      <c r="C282">
        <f t="shared" si="8"/>
        <v>2.6200000000002888E-2</v>
      </c>
      <c r="D282">
        <v>0</v>
      </c>
      <c r="E282">
        <v>7.4190957133444301E-3</v>
      </c>
      <c r="F282">
        <v>121.02200000000001</v>
      </c>
      <c r="G282">
        <v>119.77402591489999</v>
      </c>
      <c r="H282">
        <v>7.65</v>
      </c>
      <c r="I282">
        <v>7.28</v>
      </c>
      <c r="J282">
        <v>6.91</v>
      </c>
      <c r="K282">
        <v>4.82</v>
      </c>
      <c r="L282">
        <v>4.95</v>
      </c>
      <c r="M282">
        <v>3.8</v>
      </c>
      <c r="N282">
        <v>3.7</v>
      </c>
      <c r="O282">
        <v>3.6</v>
      </c>
      <c r="P282">
        <v>3.5</v>
      </c>
      <c r="Q282">
        <v>20.0305</v>
      </c>
      <c r="R282">
        <v>291.298</v>
      </c>
      <c r="S282">
        <v>2.9972561119223329</v>
      </c>
      <c r="T282">
        <f t="shared" si="9"/>
        <v>-0.39014182767220795</v>
      </c>
      <c r="U282">
        <v>4.7959723472516371</v>
      </c>
      <c r="V282">
        <v>5.6743467981677034</v>
      </c>
      <c r="W282">
        <v>3.8756305628384</v>
      </c>
      <c r="X282">
        <v>0</v>
      </c>
      <c r="Y282">
        <v>6</v>
      </c>
      <c r="Z282">
        <v>101.3335</v>
      </c>
      <c r="AA282">
        <v>8.5381711956420574</v>
      </c>
      <c r="AB282">
        <v>0.77</v>
      </c>
      <c r="AC282">
        <v>1.121149438</v>
      </c>
      <c r="AD282">
        <v>4.5075743150527003</v>
      </c>
      <c r="AE282">
        <v>0</v>
      </c>
      <c r="AF282">
        <v>0</v>
      </c>
      <c r="AG282">
        <v>-6.0604550832258353E-3</v>
      </c>
    </row>
    <row r="283" spans="1:33" x14ac:dyDescent="0.25">
      <c r="A283" s="1">
        <v>44713</v>
      </c>
      <c r="B283">
        <v>99.476699999999994</v>
      </c>
      <c r="C283">
        <f t="shared" si="8"/>
        <v>-0.32990000000000919</v>
      </c>
      <c r="D283">
        <v>0</v>
      </c>
      <c r="E283">
        <v>1.5024812318102901E-3</v>
      </c>
      <c r="F283">
        <v>122.044</v>
      </c>
      <c r="G283">
        <v>120.696375742</v>
      </c>
      <c r="H283">
        <v>7.99</v>
      </c>
      <c r="I283">
        <v>7.49</v>
      </c>
      <c r="J283">
        <v>7.31</v>
      </c>
      <c r="K283">
        <v>4.9400000000000004</v>
      </c>
      <c r="L283">
        <v>4.92</v>
      </c>
      <c r="M283">
        <v>3.8</v>
      </c>
      <c r="N283">
        <v>3.7</v>
      </c>
      <c r="O283">
        <v>3.6</v>
      </c>
      <c r="P283">
        <v>3.5</v>
      </c>
      <c r="Q283">
        <v>20.023700000000002</v>
      </c>
      <c r="R283">
        <v>294.95699999999999</v>
      </c>
      <c r="S283">
        <v>2.996916571995667</v>
      </c>
      <c r="T283">
        <f t="shared" si="9"/>
        <v>-3.3953992666591049E-2</v>
      </c>
      <c r="U283">
        <v>4.8043816354503139</v>
      </c>
      <c r="V283">
        <v>5.6868295830035391</v>
      </c>
      <c r="W283">
        <v>3.8793645195488922</v>
      </c>
      <c r="X283">
        <v>0</v>
      </c>
      <c r="Y283">
        <v>-9.5</v>
      </c>
      <c r="Z283">
        <v>101.018</v>
      </c>
      <c r="AA283">
        <v>8.9793611031058091</v>
      </c>
      <c r="AB283">
        <v>1.21</v>
      </c>
      <c r="AC283">
        <v>2.7582094580000001</v>
      </c>
      <c r="AD283">
        <v>4.5556541639529344</v>
      </c>
      <c r="AE283">
        <v>0</v>
      </c>
      <c r="AF283">
        <v>0</v>
      </c>
      <c r="AG283">
        <v>-6.0604550832258353E-3</v>
      </c>
    </row>
    <row r="284" spans="1:33" x14ac:dyDescent="0.25">
      <c r="A284" s="1">
        <v>44743</v>
      </c>
      <c r="B284">
        <v>100.0287</v>
      </c>
      <c r="C284">
        <f t="shared" si="8"/>
        <v>0.55200000000000671</v>
      </c>
      <c r="D284">
        <v>0</v>
      </c>
      <c r="E284">
        <v>4.4290121843291201E-3</v>
      </c>
      <c r="F284">
        <v>122.94799999999999</v>
      </c>
      <c r="G284">
        <v>121.4473270209</v>
      </c>
      <c r="H284">
        <v>8.15</v>
      </c>
      <c r="I284">
        <v>7.65</v>
      </c>
      <c r="J284">
        <v>7.76</v>
      </c>
      <c r="K284">
        <v>4.93</v>
      </c>
      <c r="L284">
        <v>4.96</v>
      </c>
      <c r="M284">
        <v>3.82</v>
      </c>
      <c r="N284">
        <v>3.83</v>
      </c>
      <c r="O284">
        <v>3.6</v>
      </c>
      <c r="P284">
        <v>3.57</v>
      </c>
      <c r="Q284">
        <v>20.546700000000001</v>
      </c>
      <c r="R284">
        <v>294.91300000000001</v>
      </c>
      <c r="S284">
        <v>3.0227003441056559</v>
      </c>
      <c r="T284">
        <f t="shared" si="9"/>
        <v>2.5783772109988945</v>
      </c>
      <c r="U284">
        <v>4.8117615017547841</v>
      </c>
      <c r="V284">
        <v>5.6866803975895266</v>
      </c>
      <c r="W284">
        <v>3.8976192399403988</v>
      </c>
      <c r="X284">
        <v>0</v>
      </c>
      <c r="Y284">
        <v>0</v>
      </c>
      <c r="Z284">
        <v>101.223</v>
      </c>
      <c r="AA284">
        <v>8.4625767277301058</v>
      </c>
      <c r="AB284">
        <v>1.68</v>
      </c>
      <c r="AC284">
        <v>2.7951117010000002</v>
      </c>
      <c r="AD284">
        <v>4.4693738871593638</v>
      </c>
      <c r="AE284">
        <v>0</v>
      </c>
      <c r="AF284">
        <v>0</v>
      </c>
      <c r="AG284">
        <v>0</v>
      </c>
    </row>
    <row r="285" spans="1:33" x14ac:dyDescent="0.25">
      <c r="A285" s="1">
        <v>44774</v>
      </c>
      <c r="B285">
        <v>100.5217</v>
      </c>
      <c r="C285">
        <f t="shared" si="8"/>
        <v>0.492999999999995</v>
      </c>
      <c r="D285">
        <v>0</v>
      </c>
      <c r="E285">
        <v>6.7464197605433497E-3</v>
      </c>
      <c r="F285">
        <v>123.803</v>
      </c>
      <c r="G285">
        <v>122.4172935096</v>
      </c>
      <c r="H285">
        <v>8.6999999999999993</v>
      </c>
      <c r="I285">
        <v>8.0500000000000007</v>
      </c>
      <c r="J285">
        <v>8.25</v>
      </c>
      <c r="K285">
        <v>4.9800000000000004</v>
      </c>
      <c r="L285">
        <v>4.9800000000000004</v>
      </c>
      <c r="M285">
        <v>3.85</v>
      </c>
      <c r="N285">
        <v>3.8</v>
      </c>
      <c r="O285">
        <v>3.6</v>
      </c>
      <c r="P285">
        <v>3.5</v>
      </c>
      <c r="Q285">
        <v>20.120899999999999</v>
      </c>
      <c r="R285">
        <v>295.09699999999998</v>
      </c>
      <c r="S285">
        <v>3.0017590758414481</v>
      </c>
      <c r="T285">
        <f t="shared" si="9"/>
        <v>-2.0941268264207835</v>
      </c>
      <c r="U285">
        <v>4.8186915925901701</v>
      </c>
      <c r="V285">
        <v>5.6873041158518109</v>
      </c>
      <c r="W285">
        <v>3.870371599103088</v>
      </c>
      <c r="X285">
        <v>0</v>
      </c>
      <c r="Y285">
        <v>1</v>
      </c>
      <c r="Z285">
        <v>101.0963</v>
      </c>
      <c r="AA285">
        <v>8.2225791782188367</v>
      </c>
      <c r="AB285">
        <v>2.33</v>
      </c>
      <c r="AC285">
        <v>3.0175004200000002</v>
      </c>
      <c r="AD285">
        <v>4.2790303757598052</v>
      </c>
      <c r="AE285">
        <v>0</v>
      </c>
      <c r="AF285" s="5">
        <v>0</v>
      </c>
      <c r="AG285">
        <v>0</v>
      </c>
    </row>
    <row r="286" spans="1:33" x14ac:dyDescent="0.25">
      <c r="A286" s="1">
        <v>44805</v>
      </c>
      <c r="B286">
        <v>100.6949</v>
      </c>
      <c r="C286">
        <f t="shared" si="8"/>
        <v>0.17320000000000846</v>
      </c>
      <c r="D286">
        <v>0</v>
      </c>
      <c r="E286">
        <v>5.8861808935626297E-3</v>
      </c>
      <c r="F286">
        <v>124.571</v>
      </c>
      <c r="G286">
        <v>123.23917545899999</v>
      </c>
      <c r="H286">
        <v>8.6999999999999993</v>
      </c>
      <c r="I286">
        <v>8.2799999999999994</v>
      </c>
      <c r="J286">
        <v>8.6999999999999993</v>
      </c>
      <c r="K286">
        <v>5.17</v>
      </c>
      <c r="L286">
        <v>5.28</v>
      </c>
      <c r="M286">
        <v>3.98</v>
      </c>
      <c r="N286">
        <v>3.97</v>
      </c>
      <c r="O286">
        <v>3.59</v>
      </c>
      <c r="P286">
        <v>3.56</v>
      </c>
      <c r="Q286">
        <v>20.074999999999999</v>
      </c>
      <c r="R286">
        <v>296.34899999999999</v>
      </c>
      <c r="S286">
        <v>2.9994752598328249</v>
      </c>
      <c r="T286">
        <f t="shared" si="9"/>
        <v>-0.22838160086231518</v>
      </c>
      <c r="U286">
        <v>4.8248758344807756</v>
      </c>
      <c r="V286">
        <v>5.6915378138397621</v>
      </c>
      <c r="W286">
        <v>3.8661372391918118</v>
      </c>
      <c r="X286">
        <v>0</v>
      </c>
      <c r="Y286">
        <v>3.5</v>
      </c>
      <c r="Z286">
        <v>101.29179999999999</v>
      </c>
      <c r="AA286">
        <v>8.1921068964258197</v>
      </c>
      <c r="AB286">
        <v>2.56</v>
      </c>
      <c r="AC286">
        <v>3.739941274</v>
      </c>
      <c r="AD286">
        <v>4.4094387330508518</v>
      </c>
      <c r="AE286">
        <v>0</v>
      </c>
      <c r="AF286">
        <v>0</v>
      </c>
      <c r="AG286">
        <v>-6.0604550832258353E-3</v>
      </c>
    </row>
    <row r="287" spans="1:33" x14ac:dyDescent="0.25">
      <c r="A287" s="1">
        <v>44835</v>
      </c>
      <c r="B287">
        <v>101.09399999999999</v>
      </c>
      <c r="C287">
        <f t="shared" si="8"/>
        <v>0.39909999999999002</v>
      </c>
      <c r="D287">
        <v>0</v>
      </c>
      <c r="E287">
        <v>7.2860834382044697E-3</v>
      </c>
      <c r="F287">
        <v>125.276</v>
      </c>
      <c r="G287">
        <v>124.0132188462</v>
      </c>
      <c r="H287">
        <v>8.41</v>
      </c>
      <c r="I287">
        <v>8.42</v>
      </c>
      <c r="J287">
        <v>8.93</v>
      </c>
      <c r="K287">
        <v>5.46</v>
      </c>
      <c r="L287">
        <v>5.38</v>
      </c>
      <c r="M287">
        <v>4</v>
      </c>
      <c r="N287">
        <v>4</v>
      </c>
      <c r="O287">
        <v>3.6</v>
      </c>
      <c r="P287">
        <v>3.55</v>
      </c>
      <c r="Q287">
        <v>19.984500000000001</v>
      </c>
      <c r="R287">
        <v>298.00700000000001</v>
      </c>
      <c r="S287">
        <v>2.9949569730862389</v>
      </c>
      <c r="T287">
        <f t="shared" si="9"/>
        <v>-0.45182867465860532</v>
      </c>
      <c r="U287">
        <v>4.8305193032525642</v>
      </c>
      <c r="V287">
        <v>5.6971169761624063</v>
      </c>
      <c r="W287">
        <v>3.861554645996081</v>
      </c>
      <c r="X287">
        <v>0</v>
      </c>
      <c r="Y287">
        <v>0</v>
      </c>
      <c r="Z287">
        <v>101.2529</v>
      </c>
      <c r="AA287">
        <v>7.7588139576930004</v>
      </c>
      <c r="AB287">
        <v>3.08</v>
      </c>
      <c r="AC287">
        <v>4.4864933020000004</v>
      </c>
      <c r="AD287">
        <v>4.6577415143575429</v>
      </c>
      <c r="AE287">
        <v>0</v>
      </c>
      <c r="AF287">
        <v>0</v>
      </c>
      <c r="AG287">
        <v>0</v>
      </c>
    </row>
    <row r="288" spans="1:33" x14ac:dyDescent="0.25">
      <c r="A288" s="1">
        <v>44866</v>
      </c>
      <c r="B288">
        <v>101.65940000000001</v>
      </c>
      <c r="C288">
        <f t="shared" si="8"/>
        <v>0.565400000000011</v>
      </c>
      <c r="D288">
        <v>0</v>
      </c>
      <c r="E288">
        <v>1.0341972339403999E-2</v>
      </c>
      <c r="F288">
        <v>125.997</v>
      </c>
      <c r="G288">
        <v>124.57402117540001</v>
      </c>
      <c r="H288">
        <v>7.8</v>
      </c>
      <c r="I288">
        <v>8.51</v>
      </c>
      <c r="J288">
        <v>9.42</v>
      </c>
      <c r="K288">
        <v>5.21</v>
      </c>
      <c r="L288">
        <v>5.25</v>
      </c>
      <c r="M288">
        <v>4</v>
      </c>
      <c r="N288">
        <v>4</v>
      </c>
      <c r="O288">
        <v>3.6</v>
      </c>
      <c r="P288">
        <v>3.55</v>
      </c>
      <c r="Q288">
        <v>19.444900000000001</v>
      </c>
      <c r="R288">
        <v>298.786</v>
      </c>
      <c r="S288">
        <v>2.9675848248842791</v>
      </c>
      <c r="T288">
        <f t="shared" si="9"/>
        <v>-2.7372148201959767</v>
      </c>
      <c r="U288">
        <v>4.8362580971442171</v>
      </c>
      <c r="V288">
        <v>5.6997275980779767</v>
      </c>
      <c r="W288">
        <v>3.831054325818037</v>
      </c>
      <c r="X288">
        <v>0</v>
      </c>
      <c r="Y288">
        <v>-22</v>
      </c>
      <c r="Z288">
        <v>100.9552</v>
      </c>
      <c r="AA288">
        <v>7.1228564565339827</v>
      </c>
      <c r="AB288">
        <v>3.78</v>
      </c>
      <c r="AC288">
        <v>4.8493822639999999</v>
      </c>
      <c r="AD288">
        <v>4.3290861088614188</v>
      </c>
      <c r="AE288">
        <v>0</v>
      </c>
      <c r="AF288" s="5">
        <v>0</v>
      </c>
      <c r="AG288">
        <v>0</v>
      </c>
    </row>
    <row r="289" spans="1:33" x14ac:dyDescent="0.25">
      <c r="A289" s="1">
        <v>44896</v>
      </c>
      <c r="B289">
        <v>102.5356</v>
      </c>
      <c r="C289">
        <f t="shared" si="8"/>
        <v>0.8761999999999972</v>
      </c>
      <c r="D289">
        <v>0</v>
      </c>
      <c r="E289">
        <v>1.6444877269242899E-2</v>
      </c>
      <c r="F289">
        <v>126.47799999999999</v>
      </c>
      <c r="G289">
        <v>125.37887351800001</v>
      </c>
      <c r="H289">
        <v>7.82</v>
      </c>
      <c r="I289">
        <v>8.35</v>
      </c>
      <c r="J289">
        <v>9.9600000000000009</v>
      </c>
      <c r="K289">
        <f>AVERAGE(K288,K290)</f>
        <v>5.0950000000000006</v>
      </c>
      <c r="L289">
        <f>AVERAGE(L288,L290)</f>
        <v>5.0950000000000006</v>
      </c>
      <c r="M289">
        <v>4</v>
      </c>
      <c r="N289">
        <v>4</v>
      </c>
      <c r="O289">
        <v>3.6</v>
      </c>
      <c r="P289">
        <v>3.6</v>
      </c>
      <c r="Q289">
        <v>19.593</v>
      </c>
      <c r="R289">
        <v>298.83199999999999</v>
      </c>
      <c r="S289">
        <v>2.9751723595886301</v>
      </c>
      <c r="T289">
        <f t="shared" si="9"/>
        <v>0.75875347043510288</v>
      </c>
      <c r="U289">
        <v>4.8400683799994697</v>
      </c>
      <c r="V289">
        <v>5.6998815425712506</v>
      </c>
      <c r="W289">
        <v>3.834985522160411</v>
      </c>
      <c r="X289">
        <v>0</v>
      </c>
      <c r="Y289">
        <v>-1</v>
      </c>
      <c r="Z289">
        <v>99.766400000000004</v>
      </c>
      <c r="AA289">
        <v>6.4046004023571594</v>
      </c>
      <c r="AB289">
        <v>4.0999999999999996</v>
      </c>
      <c r="AC289">
        <v>4.9173232950000001</v>
      </c>
      <c r="AD289">
        <v>4.3541139754122256</v>
      </c>
      <c r="AE289">
        <v>0</v>
      </c>
      <c r="AF289" s="5">
        <v>0</v>
      </c>
      <c r="AG289">
        <v>0</v>
      </c>
    </row>
    <row r="290" spans="1:33" x14ac:dyDescent="0.25">
      <c r="A290" s="1">
        <v>44927</v>
      </c>
      <c r="B290">
        <v>102.598</v>
      </c>
      <c r="C290">
        <f t="shared" si="8"/>
        <v>6.239999999999668E-2</v>
      </c>
      <c r="D290">
        <v>0</v>
      </c>
      <c r="E290">
        <v>1.46234321454806E-2</v>
      </c>
      <c r="F290">
        <v>127.336</v>
      </c>
      <c r="G290">
        <v>126.27508456370001</v>
      </c>
      <c r="H290">
        <v>7.91</v>
      </c>
      <c r="I290">
        <v>8.4499999999999993</v>
      </c>
      <c r="J290">
        <v>10.61</v>
      </c>
      <c r="K290">
        <v>4.9800000000000004</v>
      </c>
      <c r="L290">
        <v>4.9400000000000004</v>
      </c>
      <c r="M290">
        <v>3.8</v>
      </c>
      <c r="N290">
        <v>3.83</v>
      </c>
      <c r="O290">
        <v>3.58</v>
      </c>
      <c r="P290">
        <v>3.5</v>
      </c>
      <c r="Q290">
        <v>18.9863</v>
      </c>
      <c r="R290">
        <v>300.42</v>
      </c>
      <c r="S290">
        <v>2.943717666451382</v>
      </c>
      <c r="T290">
        <f t="shared" si="9"/>
        <v>-3.1454693137248135</v>
      </c>
      <c r="U290">
        <v>4.8468292621275531</v>
      </c>
      <c r="V290">
        <v>5.7051814955699083</v>
      </c>
      <c r="W290">
        <v>3.8020698998937381</v>
      </c>
      <c r="X290">
        <v>0</v>
      </c>
      <c r="Z290">
        <v>100.505</v>
      </c>
      <c r="AA290">
        <v>6.3271785179601014</v>
      </c>
      <c r="AB290">
        <v>4.33</v>
      </c>
      <c r="AC290">
        <v>5.1172124080000003</v>
      </c>
      <c r="AD290">
        <v>4.2895684248338286</v>
      </c>
      <c r="AE290">
        <v>0</v>
      </c>
      <c r="AF290">
        <v>0</v>
      </c>
      <c r="AG290">
        <v>0</v>
      </c>
    </row>
    <row r="291" spans="1:33" x14ac:dyDescent="0.25">
      <c r="A291" s="1">
        <v>44958</v>
      </c>
      <c r="B291">
        <v>101.932</v>
      </c>
      <c r="C291">
        <f t="shared" si="8"/>
        <v>-0.66599999999999682</v>
      </c>
      <c r="D291">
        <v>3.75</v>
      </c>
      <c r="E291">
        <v>5.73636499048291E-3</v>
      </c>
      <c r="F291">
        <v>128.04599999999999</v>
      </c>
      <c r="G291">
        <v>127.0465123709</v>
      </c>
      <c r="H291">
        <v>7.62</v>
      </c>
      <c r="I291">
        <v>8.2899999999999991</v>
      </c>
      <c r="J291">
        <v>10.92</v>
      </c>
      <c r="K291">
        <v>4.9000000000000004</v>
      </c>
      <c r="L291">
        <v>4.9000000000000004</v>
      </c>
      <c r="M291">
        <v>3.8</v>
      </c>
      <c r="N291">
        <v>3.85</v>
      </c>
      <c r="O291">
        <v>3.6</v>
      </c>
      <c r="P291">
        <v>3.5</v>
      </c>
      <c r="Q291">
        <v>18.598600000000001</v>
      </c>
      <c r="R291">
        <v>301.45</v>
      </c>
      <c r="S291">
        <v>2.9230863090691122</v>
      </c>
      <c r="T291">
        <f t="shared" si="9"/>
        <v>-2.0631357382269844</v>
      </c>
      <c r="U291">
        <v>4.852389574359889</v>
      </c>
      <c r="V291">
        <v>5.7086041649354149</v>
      </c>
      <c r="W291">
        <v>3.779300899644638</v>
      </c>
      <c r="X291">
        <v>0.18421052631578938</v>
      </c>
      <c r="Z291">
        <v>100.6416</v>
      </c>
      <c r="AA291">
        <v>5.9578207381370785</v>
      </c>
      <c r="AB291">
        <v>4.57</v>
      </c>
      <c r="AC291">
        <v>5.5506779499999999</v>
      </c>
      <c r="AD291">
        <v>4.408780104983725</v>
      </c>
      <c r="AE291">
        <v>0.18421052631578938</v>
      </c>
      <c r="AF291">
        <v>3.75</v>
      </c>
      <c r="AG291">
        <v>2.8744727809552493</v>
      </c>
    </row>
    <row r="292" spans="1:33" x14ac:dyDescent="0.25">
      <c r="A292" s="1">
        <v>44986</v>
      </c>
      <c r="B292">
        <v>101.71980000000001</v>
      </c>
      <c r="C292">
        <f t="shared" si="8"/>
        <v>-0.21219999999999573</v>
      </c>
      <c r="D292">
        <v>-0.25</v>
      </c>
      <c r="E292">
        <v>1.3380902811244201E-3</v>
      </c>
      <c r="F292">
        <v>128.38900000000001</v>
      </c>
      <c r="G292">
        <v>127.7123939566</v>
      </c>
      <c r="H292">
        <v>6.85</v>
      </c>
      <c r="I292">
        <v>8.09</v>
      </c>
      <c r="J292">
        <v>11.23</v>
      </c>
      <c r="K292">
        <v>4.8499999999999996</v>
      </c>
      <c r="L292">
        <v>4.8099999999999996</v>
      </c>
      <c r="M292">
        <v>3.8</v>
      </c>
      <c r="N292">
        <v>3.88</v>
      </c>
      <c r="O292">
        <v>3.6</v>
      </c>
      <c r="P292">
        <v>3.5</v>
      </c>
      <c r="Q292">
        <v>18.3749</v>
      </c>
      <c r="R292">
        <v>301.82100000000003</v>
      </c>
      <c r="S292">
        <v>2.9109856029072212</v>
      </c>
      <c r="T292">
        <f t="shared" si="9"/>
        <v>-1.2100706161890962</v>
      </c>
      <c r="U292">
        <v>4.8550647178040638</v>
      </c>
      <c r="V292">
        <v>5.7098341264179684</v>
      </c>
      <c r="W292">
        <v>3.7657550115211258</v>
      </c>
      <c r="X292">
        <v>0.2272727272727284</v>
      </c>
      <c r="Z292">
        <v>101.0205</v>
      </c>
      <c r="AA292">
        <v>4.9177193628899554</v>
      </c>
      <c r="AB292">
        <v>4.6500000000000004</v>
      </c>
      <c r="AC292">
        <v>5.0890983820000004</v>
      </c>
      <c r="AD292">
        <v>4.4305148311989004</v>
      </c>
      <c r="AE292">
        <v>0.2272727272727284</v>
      </c>
      <c r="AF292">
        <v>-0.25</v>
      </c>
      <c r="AG292">
        <v>-0.14323144778337804</v>
      </c>
    </row>
    <row r="293" spans="1:33" x14ac:dyDescent="0.25">
      <c r="A293" s="1">
        <v>45017</v>
      </c>
      <c r="B293">
        <v>102.73390000000001</v>
      </c>
      <c r="C293">
        <f t="shared" si="8"/>
        <v>1.0140999999999991</v>
      </c>
      <c r="D293">
        <v>0</v>
      </c>
      <c r="E293">
        <v>9.0087204091053898E-3</v>
      </c>
      <c r="F293">
        <v>128.363</v>
      </c>
      <c r="G293">
        <v>128.20621836800001</v>
      </c>
      <c r="H293">
        <v>6.25</v>
      </c>
      <c r="I293">
        <v>7.67</v>
      </c>
      <c r="J293">
        <v>11.29</v>
      </c>
      <c r="K293">
        <v>4.78</v>
      </c>
      <c r="L293">
        <v>4.6500000000000004</v>
      </c>
      <c r="M293">
        <v>3.8</v>
      </c>
      <c r="N293">
        <v>3.8</v>
      </c>
      <c r="O293">
        <v>3.55</v>
      </c>
      <c r="P293">
        <v>3.55</v>
      </c>
      <c r="Q293">
        <v>18.0855</v>
      </c>
      <c r="R293">
        <v>302.84500000000003</v>
      </c>
      <c r="S293">
        <v>2.8951105122433378</v>
      </c>
      <c r="T293">
        <f t="shared" si="9"/>
        <v>-1.5875090663883373</v>
      </c>
      <c r="U293">
        <v>4.8548621877354474</v>
      </c>
      <c r="V293">
        <v>5.7132211234673216</v>
      </c>
      <c r="W293">
        <v>3.7534694479752142</v>
      </c>
      <c r="X293">
        <v>0</v>
      </c>
      <c r="Z293">
        <v>101.253</v>
      </c>
      <c r="AA293">
        <v>4.9500798791243614</v>
      </c>
      <c r="AB293">
        <v>4.83</v>
      </c>
      <c r="AC293">
        <v>5.3581761659999998</v>
      </c>
      <c r="AD293">
        <v>4.255978393410377</v>
      </c>
      <c r="AE293">
        <v>0</v>
      </c>
      <c r="AF293">
        <v>0</v>
      </c>
      <c r="AG293">
        <v>0</v>
      </c>
    </row>
    <row r="294" spans="1:33" x14ac:dyDescent="0.25">
      <c r="A294" s="1">
        <v>45047</v>
      </c>
      <c r="B294">
        <v>102.91119999999999</v>
      </c>
      <c r="C294">
        <f t="shared" si="8"/>
        <v>0.17729999999998824</v>
      </c>
      <c r="D294">
        <v>-0.5</v>
      </c>
      <c r="E294">
        <v>8.5527432966197008E-3</v>
      </c>
      <c r="F294">
        <v>128.084</v>
      </c>
      <c r="G294">
        <v>128.62112980929999</v>
      </c>
      <c r="H294">
        <v>5.84</v>
      </c>
      <c r="I294">
        <v>7.39</v>
      </c>
      <c r="J294">
        <v>11.32</v>
      </c>
      <c r="K294">
        <v>4.74</v>
      </c>
      <c r="L294">
        <v>4.6500000000000004</v>
      </c>
      <c r="M294">
        <v>3.8</v>
      </c>
      <c r="N294">
        <v>3.8</v>
      </c>
      <c r="O294">
        <v>3.6</v>
      </c>
      <c r="P294">
        <v>3.56</v>
      </c>
      <c r="Q294">
        <v>17.737300000000001</v>
      </c>
      <c r="R294">
        <v>303.334</v>
      </c>
      <c r="S294">
        <v>2.8756697668764319</v>
      </c>
      <c r="T294">
        <f t="shared" si="9"/>
        <v>-1.9440745366905876</v>
      </c>
      <c r="U294">
        <v>4.8526862986817472</v>
      </c>
      <c r="V294">
        <v>5.7148345086425687</v>
      </c>
      <c r="W294">
        <v>3.737817976837253</v>
      </c>
      <c r="X294">
        <v>0</v>
      </c>
      <c r="Z294">
        <v>100.9286</v>
      </c>
      <c r="AA294">
        <v>4.1318512313850428</v>
      </c>
      <c r="AB294">
        <v>5.0599999999999996</v>
      </c>
      <c r="AC294">
        <v>5.7898785840000002</v>
      </c>
      <c r="AD294">
        <v>4.1808947937579566</v>
      </c>
      <c r="AE294">
        <v>0</v>
      </c>
      <c r="AF294">
        <v>-0.5</v>
      </c>
      <c r="AG294">
        <v>-0.30927690564157989</v>
      </c>
    </row>
    <row r="295" spans="1:33" x14ac:dyDescent="0.25">
      <c r="A295" s="1">
        <v>45078</v>
      </c>
      <c r="B295">
        <v>103.35290000000001</v>
      </c>
      <c r="C295">
        <f t="shared" si="8"/>
        <v>0.44170000000001153</v>
      </c>
      <c r="D295">
        <v>0</v>
      </c>
      <c r="E295">
        <v>1.07283725912293E-2</v>
      </c>
      <c r="F295">
        <v>128.214</v>
      </c>
      <c r="G295">
        <v>129.00761887440001</v>
      </c>
      <c r="H295">
        <v>5.0599999999999996</v>
      </c>
      <c r="I295">
        <v>6.89</v>
      </c>
      <c r="J295">
        <v>11.16</v>
      </c>
      <c r="K295">
        <v>4.59</v>
      </c>
      <c r="L295">
        <v>4.37</v>
      </c>
      <c r="M295">
        <v>3.8</v>
      </c>
      <c r="N295">
        <v>3.77</v>
      </c>
      <c r="O295">
        <v>3.5</v>
      </c>
      <c r="P295">
        <v>3.57</v>
      </c>
      <c r="Q295">
        <v>17.241199999999999</v>
      </c>
      <c r="R295">
        <v>304.01400000000001</v>
      </c>
      <c r="S295">
        <v>2.8473018683816371</v>
      </c>
      <c r="T295">
        <f t="shared" si="9"/>
        <v>-2.8367898494794819</v>
      </c>
      <c r="U295">
        <v>4.8537007428923813</v>
      </c>
      <c r="V295">
        <v>5.7170737529774112</v>
      </c>
      <c r="W295">
        <v>3.710674878466667</v>
      </c>
      <c r="X295">
        <v>0</v>
      </c>
      <c r="Z295">
        <v>100.11960000000001</v>
      </c>
      <c r="AA295">
        <v>3.0706170729970865</v>
      </c>
      <c r="AB295">
        <v>5.08</v>
      </c>
      <c r="AC295">
        <v>6.2589018960000002</v>
      </c>
      <c r="AD295">
        <v>4.175625769220944</v>
      </c>
      <c r="AE295">
        <v>0</v>
      </c>
      <c r="AF295">
        <v>0</v>
      </c>
      <c r="AG295">
        <v>-6.0604550832258353E-3</v>
      </c>
    </row>
    <row r="296" spans="1:33" x14ac:dyDescent="0.25">
      <c r="A296" s="1">
        <v>45108</v>
      </c>
      <c r="B296">
        <v>103.375</v>
      </c>
      <c r="C296">
        <f t="shared" si="8"/>
        <v>2.2099999999994679E-2</v>
      </c>
      <c r="D296">
        <v>0</v>
      </c>
      <c r="E296">
        <v>8.9112551369536792E-3</v>
      </c>
      <c r="F296">
        <v>128.83199999999999</v>
      </c>
      <c r="G296">
        <v>129.51140391780001</v>
      </c>
      <c r="H296">
        <v>4.79</v>
      </c>
      <c r="I296">
        <v>6.64</v>
      </c>
      <c r="J296">
        <v>11.22</v>
      </c>
      <c r="K296">
        <v>4.49</v>
      </c>
      <c r="L296">
        <v>4.29</v>
      </c>
      <c r="M296">
        <v>3.8</v>
      </c>
      <c r="N296">
        <v>3.8</v>
      </c>
      <c r="O296">
        <v>3.6</v>
      </c>
      <c r="P296">
        <v>3.6</v>
      </c>
      <c r="Q296">
        <v>16.904900000000001</v>
      </c>
      <c r="R296">
        <v>304.60899999999998</v>
      </c>
      <c r="S296">
        <v>2.827603520732711</v>
      </c>
      <c r="T296">
        <f t="shared" si="9"/>
        <v>-1.9698347648926084</v>
      </c>
      <c r="U296">
        <v>4.8585092300173258</v>
      </c>
      <c r="V296">
        <v>5.7190289869713746</v>
      </c>
      <c r="W296">
        <v>3.6881232776867598</v>
      </c>
      <c r="X296">
        <v>0</v>
      </c>
      <c r="Z296">
        <v>100.9067</v>
      </c>
      <c r="AA296">
        <v>3.2877492684283056</v>
      </c>
      <c r="AB296">
        <v>5.12</v>
      </c>
      <c r="AC296">
        <v>5.12</v>
      </c>
      <c r="AD296">
        <v>4.1380839693947342</v>
      </c>
      <c r="AE296">
        <v>0</v>
      </c>
      <c r="AF296">
        <v>0</v>
      </c>
      <c r="AG296">
        <v>0</v>
      </c>
    </row>
    <row r="297" spans="1:33" x14ac:dyDescent="0.25">
      <c r="A297" s="1">
        <v>45139</v>
      </c>
      <c r="B297">
        <v>103.7195</v>
      </c>
      <c r="C297">
        <f t="shared" si="8"/>
        <v>0.34449999999999648</v>
      </c>
      <c r="D297">
        <v>0</v>
      </c>
      <c r="E297">
        <v>1.02861219947785E-2</v>
      </c>
      <c r="F297">
        <v>129.54499999999999</v>
      </c>
      <c r="G297">
        <v>129.86377276190001</v>
      </c>
      <c r="H297">
        <v>4.6399999999999997</v>
      </c>
      <c r="I297">
        <v>6.08</v>
      </c>
      <c r="J297">
        <v>11.16</v>
      </c>
      <c r="K297">
        <v>4.32</v>
      </c>
      <c r="L297">
        <v>4.22</v>
      </c>
      <c r="M297">
        <v>3.8</v>
      </c>
      <c r="N297">
        <v>3.79</v>
      </c>
      <c r="O297">
        <v>3.53</v>
      </c>
      <c r="P297">
        <v>3.6</v>
      </c>
      <c r="Q297">
        <v>16.976600000000001</v>
      </c>
      <c r="R297">
        <v>306.08199999999999</v>
      </c>
      <c r="S297">
        <v>2.8318359252621219</v>
      </c>
      <c r="T297">
        <f t="shared" si="9"/>
        <v>0.42324045294108714</v>
      </c>
      <c r="U297">
        <v>4.8640283111262947</v>
      </c>
      <c r="V297">
        <v>5.7238530399100096</v>
      </c>
      <c r="W297">
        <v>3.6916606540458381</v>
      </c>
      <c r="X297">
        <v>0</v>
      </c>
      <c r="Z297">
        <v>100.83929999999999</v>
      </c>
      <c r="AA297">
        <v>3.7225048035052928</v>
      </c>
      <c r="AB297">
        <v>5.33</v>
      </c>
      <c r="AC297">
        <v>5.33</v>
      </c>
      <c r="AD297">
        <v>4.2658578144172754</v>
      </c>
      <c r="AE297">
        <v>0</v>
      </c>
      <c r="AF297">
        <v>0</v>
      </c>
      <c r="AG297">
        <v>-6.0604550832258353E-3</v>
      </c>
    </row>
    <row r="298" spans="1:33" x14ac:dyDescent="0.25">
      <c r="A298" s="1">
        <v>45170</v>
      </c>
      <c r="B298">
        <v>104.59</v>
      </c>
      <c r="C298">
        <f t="shared" si="8"/>
        <v>0.87050000000000693</v>
      </c>
      <c r="D298">
        <v>0</v>
      </c>
      <c r="E298">
        <v>1.6772487823293301E-2</v>
      </c>
      <c r="F298">
        <v>130.12</v>
      </c>
      <c r="G298">
        <v>130.333655136</v>
      </c>
      <c r="H298">
        <v>4.45</v>
      </c>
      <c r="I298">
        <v>5.76</v>
      </c>
      <c r="J298">
        <v>11.08</v>
      </c>
      <c r="K298">
        <v>4.22</v>
      </c>
      <c r="L298">
        <v>4.13</v>
      </c>
      <c r="M298">
        <v>3.8</v>
      </c>
      <c r="N298">
        <v>3.75</v>
      </c>
      <c r="O298">
        <v>3.6</v>
      </c>
      <c r="P298">
        <v>3.54</v>
      </c>
      <c r="Q298">
        <v>17.307700000000001</v>
      </c>
      <c r="R298">
        <v>307.27600000000001</v>
      </c>
      <c r="S298">
        <v>2.8511514891872292</v>
      </c>
      <c r="T298">
        <f t="shared" si="9"/>
        <v>1.9315563925107249</v>
      </c>
      <c r="U298">
        <v>4.8684571016051503</v>
      </c>
      <c r="V298">
        <v>5.7277463665095478</v>
      </c>
      <c r="W298">
        <v>3.7104407540916271</v>
      </c>
      <c r="X298">
        <v>0</v>
      </c>
      <c r="Z298">
        <v>101.0211</v>
      </c>
      <c r="AA298">
        <v>3.6872066381192519</v>
      </c>
      <c r="AB298">
        <v>5.33</v>
      </c>
      <c r="AC298">
        <v>5.33</v>
      </c>
      <c r="AD298">
        <v>4.7169999999999996</v>
      </c>
      <c r="AE298">
        <v>0</v>
      </c>
      <c r="AF298">
        <v>0</v>
      </c>
      <c r="AG298">
        <v>-6.0604550832258353E-3</v>
      </c>
    </row>
    <row r="299" spans="1:33" x14ac:dyDescent="0.25">
      <c r="A299" s="1">
        <v>45200</v>
      </c>
      <c r="B299">
        <v>104.6199</v>
      </c>
      <c r="C299">
        <f t="shared" si="8"/>
        <v>2.9899999999997817E-2</v>
      </c>
      <c r="D299">
        <v>0</v>
      </c>
      <c r="E299">
        <v>1.5268728280029E-2</v>
      </c>
      <c r="F299">
        <v>130.60900000000001</v>
      </c>
      <c r="G299">
        <v>130.8367707205</v>
      </c>
      <c r="H299">
        <v>4.26</v>
      </c>
      <c r="I299">
        <v>5.5</v>
      </c>
      <c r="J299">
        <v>11.08</v>
      </c>
      <c r="K299">
        <v>4.18</v>
      </c>
      <c r="L299">
        <v>4.2699999999999996</v>
      </c>
      <c r="M299">
        <v>3.8</v>
      </c>
      <c r="N299">
        <v>3.78</v>
      </c>
      <c r="O299">
        <v>3.6</v>
      </c>
      <c r="P299">
        <v>3.59</v>
      </c>
      <c r="Q299">
        <v>18.0823</v>
      </c>
      <c r="R299">
        <v>307.69600000000003</v>
      </c>
      <c r="S299">
        <v>2.8949335592626011</v>
      </c>
      <c r="T299">
        <f t="shared" si="9"/>
        <v>4.3782070075371937</v>
      </c>
      <c r="U299">
        <v>4.872208127178526</v>
      </c>
      <c r="V299">
        <v>5.7291122825684919</v>
      </c>
      <c r="W299">
        <v>3.751837714652567</v>
      </c>
      <c r="X299">
        <v>0</v>
      </c>
      <c r="Z299">
        <v>100.4689</v>
      </c>
      <c r="AA299">
        <v>3.2512659098611847</v>
      </c>
      <c r="AB299">
        <v>5.33</v>
      </c>
      <c r="AC299">
        <v>5.33</v>
      </c>
      <c r="AD299">
        <v>4.7009999999999996</v>
      </c>
      <c r="AE299">
        <v>0</v>
      </c>
      <c r="AF299">
        <v>0</v>
      </c>
      <c r="AG299">
        <v>0</v>
      </c>
    </row>
    <row r="300" spans="1:33" x14ac:dyDescent="0.25">
      <c r="A300" s="1">
        <v>45231</v>
      </c>
      <c r="B300">
        <v>103.8509</v>
      </c>
      <c r="C300">
        <f t="shared" si="8"/>
        <v>-0.76900000000000546</v>
      </c>
      <c r="D300">
        <v>0</v>
      </c>
      <c r="E300">
        <v>6.18340447905741E-3</v>
      </c>
      <c r="F300">
        <v>131.44499999999999</v>
      </c>
      <c r="G300">
        <v>131.1825241256</v>
      </c>
      <c r="H300">
        <v>4.32</v>
      </c>
      <c r="I300">
        <v>5.3</v>
      </c>
      <c r="J300">
        <v>10.89</v>
      </c>
      <c r="K300">
        <v>4.08</v>
      </c>
      <c r="L300">
        <v>4.07</v>
      </c>
      <c r="M300">
        <v>3.76</v>
      </c>
      <c r="N300">
        <v>3.77</v>
      </c>
      <c r="O300">
        <v>3.5</v>
      </c>
      <c r="P300">
        <v>3.5</v>
      </c>
      <c r="Q300">
        <v>17.3767</v>
      </c>
      <c r="R300">
        <v>308.14800000000002</v>
      </c>
      <c r="S300">
        <v>2.8551302283912849</v>
      </c>
      <c r="T300">
        <f t="shared" si="9"/>
        <v>-3.9803330871316156</v>
      </c>
      <c r="U300">
        <v>4.8785885131759237</v>
      </c>
      <c r="V300">
        <v>5.7305801870415793</v>
      </c>
      <c r="W300">
        <v>3.7071219022569402</v>
      </c>
      <c r="X300">
        <v>0</v>
      </c>
      <c r="Z300">
        <v>100.8639</v>
      </c>
      <c r="AA300">
        <v>3.1333462745911866</v>
      </c>
      <c r="AB300">
        <v>5.33</v>
      </c>
      <c r="AC300">
        <v>5.33</v>
      </c>
      <c r="AD300">
        <v>4.6120000000000001</v>
      </c>
      <c r="AE300">
        <v>0</v>
      </c>
      <c r="AF300">
        <v>0</v>
      </c>
      <c r="AG300">
        <v>-6.0604550832258353E-3</v>
      </c>
    </row>
    <row r="301" spans="1:33" x14ac:dyDescent="0.25">
      <c r="A301" s="1">
        <v>45261</v>
      </c>
      <c r="B301">
        <v>104.2899</v>
      </c>
      <c r="C301">
        <f t="shared" si="8"/>
        <v>0.43900000000000716</v>
      </c>
      <c r="D301">
        <v>0.25</v>
      </c>
      <c r="E301">
        <v>8.7747254870747006E-3</v>
      </c>
      <c r="F301">
        <v>132.37299999999999</v>
      </c>
      <c r="G301">
        <v>131.75777905449999</v>
      </c>
      <c r="H301">
        <v>4.66</v>
      </c>
      <c r="I301">
        <v>5.09</v>
      </c>
      <c r="J301">
        <v>11.21</v>
      </c>
      <c r="K301">
        <f>AVERAGE(K300,K302)</f>
        <v>3.9450000000000003</v>
      </c>
      <c r="L301">
        <f>AVERAGE(L300,L302)</f>
        <v>4.04</v>
      </c>
      <c r="M301">
        <v>3.72</v>
      </c>
      <c r="N301">
        <v>3.7</v>
      </c>
      <c r="O301">
        <v>3.6</v>
      </c>
      <c r="P301">
        <v>3.5</v>
      </c>
      <c r="Q301">
        <v>17.186</v>
      </c>
      <c r="R301">
        <v>308.74099999999999</v>
      </c>
      <c r="S301">
        <v>2.8440950988910312</v>
      </c>
      <c r="T301">
        <f t="shared" si="9"/>
        <v>-1.103512950025376</v>
      </c>
      <c r="U301">
        <v>4.8856236952144219</v>
      </c>
      <c r="V301">
        <v>5.7325027377197522</v>
      </c>
      <c r="W301">
        <v>3.6909741413963619</v>
      </c>
      <c r="X301">
        <v>0</v>
      </c>
      <c r="Z301">
        <v>100.6031</v>
      </c>
      <c r="AA301">
        <v>3.3159099427102832</v>
      </c>
      <c r="AB301">
        <v>5.33</v>
      </c>
      <c r="AC301">
        <v>5.33</v>
      </c>
      <c r="AD301">
        <v>4.5469999999999997</v>
      </c>
      <c r="AE301">
        <v>0</v>
      </c>
      <c r="AF301">
        <v>0.25</v>
      </c>
      <c r="AG301">
        <v>0.15397044937812771</v>
      </c>
    </row>
    <row r="302" spans="1:33" x14ac:dyDescent="0.25">
      <c r="A302" s="1">
        <v>45292</v>
      </c>
      <c r="B302">
        <v>104.32299999999999</v>
      </c>
      <c r="C302">
        <f t="shared" si="8"/>
        <v>3.3099999999990359E-2</v>
      </c>
      <c r="D302">
        <v>0</v>
      </c>
      <c r="E302">
        <v>7.5443574698557097E-3</v>
      </c>
      <c r="F302">
        <v>133.55500000000001</v>
      </c>
      <c r="G302">
        <v>132.29122103029999</v>
      </c>
      <c r="H302">
        <v>4.88</v>
      </c>
      <c r="I302">
        <v>4.76</v>
      </c>
      <c r="J302">
        <v>11.29</v>
      </c>
      <c r="K302">
        <v>3.81</v>
      </c>
      <c r="L302">
        <v>4.01</v>
      </c>
      <c r="M302">
        <v>3.7</v>
      </c>
      <c r="N302">
        <v>3.7</v>
      </c>
      <c r="O302">
        <v>3.5</v>
      </c>
      <c r="P302">
        <v>3.5</v>
      </c>
      <c r="Q302">
        <v>17.087299999999999</v>
      </c>
      <c r="R302">
        <v>309.69799999999998</v>
      </c>
      <c r="S302">
        <v>2.8383354975192439</v>
      </c>
      <c r="T302">
        <f t="shared" si="9"/>
        <v>-0.57596013717873262</v>
      </c>
      <c r="U302">
        <v>4.8945133780165051</v>
      </c>
      <c r="V302">
        <v>5.7355976290958566</v>
      </c>
      <c r="W302">
        <v>3.6794197485985962</v>
      </c>
      <c r="X302">
        <v>0</v>
      </c>
      <c r="Z302">
        <v>99.222300000000004</v>
      </c>
      <c r="AA302">
        <v>3.0883429864855745</v>
      </c>
      <c r="AB302">
        <v>5.33</v>
      </c>
      <c r="AC302">
        <v>5.33</v>
      </c>
      <c r="AD302">
        <v>4.59</v>
      </c>
      <c r="AE302">
        <v>0</v>
      </c>
      <c r="AF302">
        <v>0</v>
      </c>
      <c r="AG302">
        <v>0</v>
      </c>
    </row>
    <row r="303" spans="1:33" x14ac:dyDescent="0.25">
      <c r="A303" s="1">
        <v>45323</v>
      </c>
      <c r="B303">
        <v>104.6728</v>
      </c>
      <c r="C303">
        <f t="shared" si="8"/>
        <v>0.34980000000000189</v>
      </c>
      <c r="D303">
        <v>1</v>
      </c>
      <c r="E303">
        <v>9.4212729409379799E-3</v>
      </c>
      <c r="F303">
        <v>133.68100000000001</v>
      </c>
      <c r="G303">
        <v>132.945408001</v>
      </c>
      <c r="H303">
        <v>4.4000000000000004</v>
      </c>
      <c r="I303">
        <v>4.6399999999999997</v>
      </c>
      <c r="J303">
        <v>11.05</v>
      </c>
      <c r="K303">
        <v>3.88</v>
      </c>
      <c r="L303">
        <v>3.94</v>
      </c>
      <c r="M303">
        <v>3.68</v>
      </c>
      <c r="N303">
        <v>3.68</v>
      </c>
      <c r="O303">
        <v>3.5</v>
      </c>
      <c r="P303">
        <v>3.5</v>
      </c>
      <c r="Q303">
        <v>17.0898</v>
      </c>
      <c r="R303">
        <v>310.96699999999998</v>
      </c>
      <c r="S303">
        <v>2.8384817943088749</v>
      </c>
      <c r="T303">
        <f t="shared" si="9"/>
        <v>1.4629678963107295E-2</v>
      </c>
      <c r="U303">
        <v>4.8954563648097276</v>
      </c>
      <c r="V303">
        <v>5.7396867972244827</v>
      </c>
      <c r="W303">
        <v>3.682712226723631</v>
      </c>
      <c r="X303">
        <v>0</v>
      </c>
      <c r="Z303">
        <v>100.285</v>
      </c>
      <c r="AA303">
        <v>3.1570741416486969</v>
      </c>
      <c r="AB303">
        <v>5.33</v>
      </c>
      <c r="AC303">
        <v>5.33</v>
      </c>
      <c r="AD303">
        <v>4.4770000000000003</v>
      </c>
      <c r="AE303">
        <v>0</v>
      </c>
      <c r="AF303">
        <v>1</v>
      </c>
      <c r="AG303">
        <v>0.60037244603348228</v>
      </c>
    </row>
    <row r="304" spans="1:33" x14ac:dyDescent="0.25">
      <c r="A304" s="1">
        <v>45352</v>
      </c>
      <c r="B304">
        <v>104.9432</v>
      </c>
      <c r="C304">
        <f t="shared" si="8"/>
        <v>0.2704000000000093</v>
      </c>
      <c r="D304">
        <v>-0.25</v>
      </c>
      <c r="E304">
        <v>1.06052590713164E-2</v>
      </c>
      <c r="F304">
        <v>134.065</v>
      </c>
      <c r="G304">
        <v>133.524017418</v>
      </c>
      <c r="H304">
        <v>4.42</v>
      </c>
      <c r="I304">
        <v>4.55</v>
      </c>
      <c r="J304">
        <v>11.02</v>
      </c>
      <c r="K304">
        <v>3.96</v>
      </c>
      <c r="L304">
        <v>3.94</v>
      </c>
      <c r="M304">
        <v>3.7</v>
      </c>
      <c r="N304">
        <v>3.7</v>
      </c>
      <c r="O304">
        <v>3.5</v>
      </c>
      <c r="P304">
        <v>3.5</v>
      </c>
      <c r="Q304">
        <v>16.791799999999999</v>
      </c>
      <c r="R304">
        <v>312.34500000000003</v>
      </c>
      <c r="S304">
        <v>2.8208906720138618</v>
      </c>
      <c r="T304">
        <f t="shared" si="9"/>
        <v>-1.759112229501314</v>
      </c>
      <c r="U304">
        <v>4.8983247569671118</v>
      </c>
      <c r="V304">
        <v>5.7441083461277662</v>
      </c>
      <c r="W304">
        <v>3.6666742611745171</v>
      </c>
      <c r="X304">
        <v>0</v>
      </c>
      <c r="Z304">
        <v>100.4575</v>
      </c>
      <c r="AA304">
        <v>3.4868349120836521</v>
      </c>
      <c r="AB304">
        <v>5.33</v>
      </c>
      <c r="AC304">
        <v>5.33</v>
      </c>
      <c r="AD304">
        <v>4.3579999999999997</v>
      </c>
      <c r="AE304">
        <v>0</v>
      </c>
      <c r="AF304">
        <v>-0.25</v>
      </c>
      <c r="AG304">
        <v>-0.1755049421599531</v>
      </c>
    </row>
    <row r="305" spans="1:33" x14ac:dyDescent="0.25">
      <c r="A305" s="1">
        <v>45383</v>
      </c>
      <c r="B305">
        <v>103.5864</v>
      </c>
      <c r="C305">
        <f t="shared" si="8"/>
        <v>-1.3568000000000069</v>
      </c>
      <c r="D305">
        <v>0</v>
      </c>
      <c r="E305">
        <v>-3.73264475212931E-3</v>
      </c>
      <c r="F305">
        <v>134.33600000000001</v>
      </c>
      <c r="G305">
        <v>133.8030322674</v>
      </c>
      <c r="H305">
        <v>4.6500000000000004</v>
      </c>
      <c r="I305">
        <v>4.37</v>
      </c>
      <c r="J305">
        <v>10.97</v>
      </c>
      <c r="K305">
        <v>3.95</v>
      </c>
      <c r="L305">
        <v>3.9</v>
      </c>
      <c r="M305">
        <v>3.68</v>
      </c>
      <c r="N305">
        <v>3.63</v>
      </c>
      <c r="O305">
        <v>3.5</v>
      </c>
      <c r="P305">
        <v>3.5</v>
      </c>
      <c r="Q305">
        <v>16.810400000000001</v>
      </c>
      <c r="R305">
        <v>313.02300000000002</v>
      </c>
      <c r="S305">
        <v>2.8219977424973242</v>
      </c>
      <c r="T305">
        <f t="shared" si="9"/>
        <v>0.1107070483462369</v>
      </c>
      <c r="U305">
        <v>4.9003441241981678</v>
      </c>
      <c r="V305">
        <v>5.7462766702685668</v>
      </c>
      <c r="W305">
        <v>3.6679302885677241</v>
      </c>
      <c r="X305">
        <v>0</v>
      </c>
      <c r="Z305">
        <v>100.24339999999999</v>
      </c>
      <c r="AA305">
        <v>3.3607951262196822</v>
      </c>
      <c r="AB305">
        <v>5.33</v>
      </c>
      <c r="AC305">
        <v>5.33</v>
      </c>
      <c r="AD305">
        <v>4.5750000000000002</v>
      </c>
      <c r="AE305">
        <v>0</v>
      </c>
      <c r="AF305">
        <v>0</v>
      </c>
      <c r="AG305">
        <v>0</v>
      </c>
    </row>
    <row r="306" spans="1:33" x14ac:dyDescent="0.25">
      <c r="A306" s="1">
        <v>45413</v>
      </c>
      <c r="B306">
        <v>104.432</v>
      </c>
      <c r="C306">
        <f t="shared" si="8"/>
        <v>0.84560000000000457</v>
      </c>
      <c r="D306">
        <v>0.25</v>
      </c>
      <c r="E306">
        <v>3.14000485655352E-3</v>
      </c>
      <c r="F306">
        <v>134.08699999999999</v>
      </c>
      <c r="G306">
        <v>134.03534683199999</v>
      </c>
      <c r="H306">
        <v>4.6900000000000004</v>
      </c>
      <c r="I306">
        <v>4.21</v>
      </c>
      <c r="J306">
        <v>10.99</v>
      </c>
      <c r="K306">
        <v>3.86</v>
      </c>
      <c r="L306">
        <v>3.9</v>
      </c>
      <c r="M306">
        <v>3.7</v>
      </c>
      <c r="N306">
        <v>3.6</v>
      </c>
      <c r="O306">
        <v>3.55</v>
      </c>
      <c r="P306">
        <v>3.5</v>
      </c>
      <c r="Q306">
        <v>16.793600000000001</v>
      </c>
      <c r="R306">
        <v>313.17500000000001</v>
      </c>
      <c r="S306">
        <v>2.8209978614474691</v>
      </c>
      <c r="T306">
        <f t="shared" si="9"/>
        <v>-9.9988104985504478E-2</v>
      </c>
      <c r="U306">
        <v>4.8984888430082334</v>
      </c>
      <c r="V306">
        <v>5.7467621397302553</v>
      </c>
      <c r="W306">
        <v>3.669271158169491</v>
      </c>
      <c r="X306">
        <v>0</v>
      </c>
      <c r="Z306">
        <v>100.863</v>
      </c>
      <c r="AA306">
        <v>3.2442785840031152</v>
      </c>
      <c r="AB306">
        <v>5.33</v>
      </c>
      <c r="AC306">
        <v>5.33</v>
      </c>
      <c r="AD306">
        <v>4.5529999999999999</v>
      </c>
      <c r="AE306">
        <v>0</v>
      </c>
      <c r="AF306">
        <v>0.25</v>
      </c>
      <c r="AG306">
        <v>0.13796620671869794</v>
      </c>
    </row>
    <row r="307" spans="1:33" x14ac:dyDescent="0.25">
      <c r="A307" s="1">
        <v>45444</v>
      </c>
      <c r="B307">
        <v>104.5894</v>
      </c>
      <c r="C307">
        <f t="shared" si="8"/>
        <v>0.15739999999999554</v>
      </c>
      <c r="D307">
        <v>0.5</v>
      </c>
      <c r="E307">
        <v>3.45212206159573E-3</v>
      </c>
      <c r="F307">
        <v>134.59399999999999</v>
      </c>
      <c r="G307">
        <v>134.32931346289999</v>
      </c>
      <c r="H307">
        <v>4.9800000000000004</v>
      </c>
      <c r="I307">
        <v>4.13</v>
      </c>
      <c r="J307">
        <v>10.97</v>
      </c>
      <c r="K307">
        <v>3.88</v>
      </c>
      <c r="L307">
        <v>3.89</v>
      </c>
      <c r="M307">
        <v>3.7</v>
      </c>
      <c r="N307">
        <v>3.6</v>
      </c>
      <c r="O307">
        <v>3.6</v>
      </c>
      <c r="P307">
        <v>3.5</v>
      </c>
      <c r="Q307">
        <v>18.217400000000001</v>
      </c>
      <c r="R307">
        <v>313.04399999999998</v>
      </c>
      <c r="S307">
        <v>2.9023771813198431</v>
      </c>
      <c r="T307">
        <f t="shared" si="9"/>
        <v>8.1379319872374012</v>
      </c>
      <c r="U307">
        <v>4.9022628396940338</v>
      </c>
      <c r="V307">
        <v>5.7463437557402743</v>
      </c>
      <c r="W307">
        <v>3.7464580973660842</v>
      </c>
      <c r="X307">
        <v>0</v>
      </c>
      <c r="Z307">
        <v>100.89400000000001</v>
      </c>
      <c r="AA307">
        <v>2.9702579486470926</v>
      </c>
      <c r="AB307">
        <v>5.33</v>
      </c>
      <c r="AC307">
        <v>5.33</v>
      </c>
      <c r="AD307">
        <v>4.492</v>
      </c>
      <c r="AE307">
        <v>0</v>
      </c>
      <c r="AF307">
        <v>0.5</v>
      </c>
      <c r="AG307">
        <v>0.31400135383948125</v>
      </c>
    </row>
    <row r="308" spans="1:33" x14ac:dyDescent="0.25">
      <c r="A308" s="1">
        <v>45474</v>
      </c>
      <c r="B308">
        <v>105.6397</v>
      </c>
      <c r="C308">
        <f t="shared" si="8"/>
        <v>1.0503000000000071</v>
      </c>
      <c r="D308">
        <v>0</v>
      </c>
      <c r="E308">
        <v>1.2309732766975201E-2</v>
      </c>
      <c r="F308">
        <v>136.00299999999999</v>
      </c>
      <c r="G308">
        <v>134.753021593</v>
      </c>
      <c r="H308">
        <v>5.57</v>
      </c>
      <c r="I308">
        <v>4.05</v>
      </c>
      <c r="J308">
        <v>10.92</v>
      </c>
      <c r="K308">
        <v>3.77</v>
      </c>
      <c r="L308">
        <v>3.89</v>
      </c>
      <c r="M308">
        <v>3.7</v>
      </c>
      <c r="N308">
        <v>3.64</v>
      </c>
      <c r="O308">
        <v>3.6</v>
      </c>
      <c r="P308">
        <v>3.5</v>
      </c>
      <c r="Q308">
        <v>18.111699999999999</v>
      </c>
      <c r="R308">
        <v>313.56900000000002</v>
      </c>
      <c r="S308">
        <v>2.8965581382793539</v>
      </c>
      <c r="T308">
        <f t="shared" si="9"/>
        <v>-0.58190430404891913</v>
      </c>
      <c r="U308">
        <v>4.9126769443162894</v>
      </c>
      <c r="V308">
        <v>5.7480194315492517</v>
      </c>
      <c r="W308">
        <v>3.7319006255123162</v>
      </c>
      <c r="X308">
        <v>0</v>
      </c>
      <c r="Z308">
        <v>99.975700000000003</v>
      </c>
      <c r="AA308">
        <v>2.9414757935583116</v>
      </c>
      <c r="AB308">
        <v>5.33</v>
      </c>
      <c r="AC308">
        <v>5.33</v>
      </c>
      <c r="AD308">
        <v>4.6470000000000002</v>
      </c>
      <c r="AE308">
        <v>0</v>
      </c>
      <c r="AF308">
        <v>0</v>
      </c>
      <c r="AG308">
        <v>0</v>
      </c>
    </row>
    <row r="309" spans="1:33" x14ac:dyDescent="0.25">
      <c r="A309" s="1">
        <v>45505</v>
      </c>
      <c r="B309">
        <v>104.7617</v>
      </c>
      <c r="C309">
        <f t="shared" si="8"/>
        <v>-0.87800000000000011</v>
      </c>
      <c r="D309">
        <v>-1.75</v>
      </c>
      <c r="E309">
        <v>2.88460774272448E-3</v>
      </c>
      <c r="F309">
        <v>136.01300000000001</v>
      </c>
      <c r="G309">
        <v>135.05314295919999</v>
      </c>
      <c r="H309">
        <v>4.99</v>
      </c>
      <c r="I309">
        <v>4</v>
      </c>
      <c r="J309">
        <v>10.76</v>
      </c>
      <c r="K309">
        <v>3.7</v>
      </c>
      <c r="L309">
        <v>3.8</v>
      </c>
      <c r="M309">
        <v>3.75</v>
      </c>
      <c r="N309">
        <v>3.62</v>
      </c>
      <c r="O309">
        <v>3.6</v>
      </c>
      <c r="P309">
        <v>3.5</v>
      </c>
      <c r="Q309">
        <v>19.151499999999999</v>
      </c>
      <c r="R309">
        <v>314.06200000000001</v>
      </c>
      <c r="S309">
        <v>2.952381041540824</v>
      </c>
      <c r="T309">
        <f t="shared" si="9"/>
        <v>5.5822903261470103</v>
      </c>
      <c r="U309">
        <v>4.9127504694030817</v>
      </c>
      <c r="V309">
        <v>5.7495904186464273</v>
      </c>
      <c r="W309">
        <v>3.7892209907841692</v>
      </c>
      <c r="X309">
        <v>0</v>
      </c>
      <c r="Z309">
        <v>100.43089999999999</v>
      </c>
      <c r="AA309">
        <v>2.6071444906920425</v>
      </c>
      <c r="AB309">
        <v>5.33</v>
      </c>
      <c r="AC309">
        <v>5.33</v>
      </c>
      <c r="AD309">
        <v>4.516</v>
      </c>
      <c r="AE309">
        <v>0</v>
      </c>
      <c r="AF309">
        <v>-1.75</v>
      </c>
      <c r="AG309">
        <v>-1.0142470876966923</v>
      </c>
    </row>
    <row r="310" spans="1:33" x14ac:dyDescent="0.25">
      <c r="A310" s="1">
        <v>45536</v>
      </c>
      <c r="B310">
        <v>105.01990000000001</v>
      </c>
      <c r="C310">
        <f t="shared" si="8"/>
        <v>0.25820000000000221</v>
      </c>
      <c r="D310">
        <v>0.5</v>
      </c>
      <c r="E310">
        <v>4.3173258109501199E-3</v>
      </c>
      <c r="F310">
        <v>136.08000000000001</v>
      </c>
      <c r="G310">
        <v>135.43335850240001</v>
      </c>
      <c r="H310">
        <v>4.58</v>
      </c>
      <c r="I310">
        <v>3.91</v>
      </c>
      <c r="J310">
        <v>10.44</v>
      </c>
      <c r="K310">
        <v>3.8</v>
      </c>
      <c r="L310">
        <v>3.76</v>
      </c>
      <c r="M310">
        <v>3.7</v>
      </c>
      <c r="N310">
        <v>3.6</v>
      </c>
      <c r="O310">
        <v>3.65</v>
      </c>
      <c r="P310">
        <v>3.6</v>
      </c>
      <c r="Q310">
        <v>19.631599999999999</v>
      </c>
      <c r="R310">
        <v>314.73200000000003</v>
      </c>
      <c r="S310">
        <v>2.9771405128628592</v>
      </c>
      <c r="T310">
        <f t="shared" si="9"/>
        <v>2.4759471322035154</v>
      </c>
      <c r="U310">
        <v>4.9132429480876061</v>
      </c>
      <c r="V310">
        <v>5.7517214830445083</v>
      </c>
      <c r="W310">
        <v>3.8156190478197609</v>
      </c>
      <c r="X310">
        <v>0</v>
      </c>
      <c r="Z310">
        <v>99.808400000000006</v>
      </c>
      <c r="AA310">
        <v>2.4264830315416814</v>
      </c>
      <c r="AB310">
        <v>5.13</v>
      </c>
      <c r="AC310">
        <v>5.13</v>
      </c>
      <c r="AD310">
        <v>4.3650000000000002</v>
      </c>
      <c r="AE310">
        <v>0</v>
      </c>
      <c r="AF310">
        <v>0.5</v>
      </c>
      <c r="AG310">
        <v>0.28199286852062172</v>
      </c>
    </row>
    <row r="311" spans="1:33" x14ac:dyDescent="0.25">
      <c r="A311" s="1">
        <v>45566</v>
      </c>
      <c r="B311">
        <v>104.01430000000001</v>
      </c>
      <c r="C311">
        <f t="shared" si="8"/>
        <v>-1.0056000000000012</v>
      </c>
      <c r="D311">
        <v>0</v>
      </c>
      <c r="E311">
        <v>-6.2880687245048302E-3</v>
      </c>
      <c r="F311">
        <v>136.828</v>
      </c>
      <c r="G311">
        <v>135.81250229829999</v>
      </c>
      <c r="H311">
        <v>4.76</v>
      </c>
      <c r="I311">
        <v>3.8</v>
      </c>
      <c r="J311">
        <v>10.24</v>
      </c>
      <c r="K311">
        <v>3.8</v>
      </c>
      <c r="L311">
        <v>3.74</v>
      </c>
      <c r="M311">
        <v>3.71</v>
      </c>
      <c r="N311">
        <v>3.6</v>
      </c>
      <c r="O311">
        <v>3.6</v>
      </c>
      <c r="P311">
        <v>3.53</v>
      </c>
      <c r="Q311">
        <v>19.706199999999999</v>
      </c>
      <c r="R311">
        <v>315.63099999999997</v>
      </c>
      <c r="S311">
        <v>2.9809333070419188</v>
      </c>
      <c r="T311">
        <f t="shared" si="9"/>
        <v>0.37927941790596442</v>
      </c>
      <c r="U311">
        <v>4.9187246626072652</v>
      </c>
      <c r="V311">
        <v>5.7545738097499282</v>
      </c>
      <c r="W311">
        <v>3.8167824541845818</v>
      </c>
      <c r="X311">
        <v>0</v>
      </c>
      <c r="Z311">
        <v>99.469499999999996</v>
      </c>
      <c r="AA311">
        <v>2.5788440538713355</v>
      </c>
      <c r="AB311">
        <v>4.83</v>
      </c>
      <c r="AC311">
        <v>4.83</v>
      </c>
      <c r="AD311">
        <v>4.617</v>
      </c>
      <c r="AE311">
        <v>0</v>
      </c>
      <c r="AF311">
        <v>0</v>
      </c>
      <c r="AG311">
        <v>0</v>
      </c>
    </row>
    <row r="312" spans="1:33" x14ac:dyDescent="0.25">
      <c r="A312" s="1">
        <v>45597</v>
      </c>
      <c r="B312">
        <v>104.5048</v>
      </c>
      <c r="C312">
        <f t="shared" si="8"/>
        <v>0.49049999999999727</v>
      </c>
      <c r="D312">
        <v>-0.5</v>
      </c>
      <c r="E312">
        <v>-2.52799141912163E-3</v>
      </c>
      <c r="F312">
        <v>137.42400000000001</v>
      </c>
      <c r="G312">
        <v>135.87558485400001</v>
      </c>
      <c r="H312">
        <v>4.55</v>
      </c>
      <c r="I312">
        <v>3.58</v>
      </c>
      <c r="J312">
        <v>10.050000000000001</v>
      </c>
      <c r="K312">
        <v>3.9</v>
      </c>
      <c r="L312">
        <v>3.78</v>
      </c>
      <c r="M312">
        <v>3.7</v>
      </c>
      <c r="N312">
        <v>3.6</v>
      </c>
      <c r="O312">
        <v>3.6</v>
      </c>
      <c r="P312">
        <v>3.5</v>
      </c>
      <c r="Q312">
        <v>20.345500000000001</v>
      </c>
      <c r="R312">
        <v>316.52800000000002</v>
      </c>
      <c r="S312">
        <v>3.012859757214581</v>
      </c>
      <c r="T312">
        <f t="shared" si="9"/>
        <v>3.1926450172662157</v>
      </c>
      <c r="U312">
        <v>4.9230710370238686</v>
      </c>
      <c r="V312">
        <v>5.7574117052857359</v>
      </c>
      <c r="W312">
        <v>3.84720042547645</v>
      </c>
      <c r="X312">
        <v>0</v>
      </c>
      <c r="Z312">
        <v>99.292500000000004</v>
      </c>
      <c r="AA312">
        <v>2.7194724612848353</v>
      </c>
      <c r="AB312">
        <v>4.6399999999999997</v>
      </c>
      <c r="AC312">
        <v>4.6399999999999997</v>
      </c>
      <c r="AD312">
        <v>4.5999999999999996</v>
      </c>
      <c r="AE312">
        <v>0</v>
      </c>
      <c r="AF312">
        <v>-0.5</v>
      </c>
      <c r="AG312">
        <v>-0.34494942923668037</v>
      </c>
    </row>
    <row r="313" spans="1:33" x14ac:dyDescent="0.25">
      <c r="A313" s="1">
        <v>45627</v>
      </c>
      <c r="B313">
        <v>103.53360000000001</v>
      </c>
      <c r="C313">
        <f t="shared" si="8"/>
        <v>-0.97119999999999607</v>
      </c>
      <c r="D313">
        <v>1</v>
      </c>
      <c r="E313">
        <v>-1.2775075739505801E-2</v>
      </c>
      <c r="F313">
        <v>137.94900000000001</v>
      </c>
      <c r="G313">
        <v>136.56745187000001</v>
      </c>
      <c r="H313">
        <v>4.21</v>
      </c>
      <c r="I313">
        <v>3.65</v>
      </c>
      <c r="J313">
        <v>9.85</v>
      </c>
      <c r="K313">
        <f>AVERAGE(K312,K314)</f>
        <v>3.915</v>
      </c>
      <c r="L313">
        <f>AVERAGE(L312,L314)</f>
        <v>3.7149999999999999</v>
      </c>
      <c r="M313">
        <v>3.72</v>
      </c>
      <c r="N313">
        <v>3.6</v>
      </c>
      <c r="O313">
        <v>3.6</v>
      </c>
      <c r="P313">
        <v>3.5</v>
      </c>
      <c r="Q313">
        <v>20.266100000000002</v>
      </c>
      <c r="R313">
        <v>317.60399999999998</v>
      </c>
      <c r="S313">
        <v>3.0089495393867929</v>
      </c>
      <c r="T313">
        <f t="shared" si="9"/>
        <v>-0.39102178277881094</v>
      </c>
      <c r="U313">
        <v>4.9268840516337589</v>
      </c>
      <c r="V313">
        <v>5.7608053237521091</v>
      </c>
      <c r="W313">
        <v>3.842870811505144</v>
      </c>
      <c r="X313">
        <v>0</v>
      </c>
      <c r="Z313">
        <v>100.32729999999999</v>
      </c>
      <c r="AA313">
        <v>2.8706909675099839</v>
      </c>
      <c r="AB313">
        <v>4.4800000000000004</v>
      </c>
      <c r="AC313">
        <v>4.4800000000000004</v>
      </c>
      <c r="AD313">
        <v>4.524</v>
      </c>
      <c r="AE313">
        <v>0</v>
      </c>
      <c r="AF313">
        <v>1</v>
      </c>
      <c r="AG313">
        <v>0.57004619212446928</v>
      </c>
    </row>
    <row r="314" spans="1:33" x14ac:dyDescent="0.25">
      <c r="A314" s="1">
        <v>45658</v>
      </c>
      <c r="B314">
        <v>104.2945</v>
      </c>
      <c r="C314">
        <f t="shared" si="8"/>
        <v>0.76089999999999236</v>
      </c>
      <c r="D314">
        <v>0</v>
      </c>
      <c r="E314">
        <v>-6.3336248568655103E-3</v>
      </c>
      <c r="F314">
        <v>138.34299999999999</v>
      </c>
      <c r="G314">
        <v>137.1340065789</v>
      </c>
      <c r="H314">
        <v>3.59</v>
      </c>
      <c r="I314">
        <v>3.66</v>
      </c>
      <c r="J314">
        <v>9.86</v>
      </c>
      <c r="K314">
        <v>3.93</v>
      </c>
      <c r="L314">
        <v>3.65</v>
      </c>
      <c r="M314">
        <v>3.7</v>
      </c>
      <c r="N314">
        <v>3.6</v>
      </c>
      <c r="O314">
        <v>3.6</v>
      </c>
      <c r="P314">
        <v>3.5</v>
      </c>
      <c r="Q314">
        <v>20.548999999999999</v>
      </c>
      <c r="R314">
        <v>318.96100000000001</v>
      </c>
      <c r="S314">
        <v>3.0228122779577329</v>
      </c>
      <c r="T314">
        <f t="shared" si="9"/>
        <v>1.3862738570940003</v>
      </c>
      <c r="U314">
        <v>4.9297361086392009</v>
      </c>
      <c r="V314">
        <v>5.7650688382575508</v>
      </c>
      <c r="W314">
        <v>3.8581450075760841</v>
      </c>
      <c r="X314">
        <v>0</v>
      </c>
      <c r="Z314">
        <v>100.0647</v>
      </c>
      <c r="AA314">
        <v>2.9909783078999652</v>
      </c>
      <c r="AB314">
        <v>4.33</v>
      </c>
      <c r="AC314">
        <v>4.33</v>
      </c>
      <c r="AD314">
        <v>4.6539999999999999</v>
      </c>
      <c r="AE314">
        <v>0</v>
      </c>
      <c r="AF314">
        <v>0</v>
      </c>
      <c r="AG314">
        <v>0</v>
      </c>
    </row>
    <row r="315" spans="1:33" x14ac:dyDescent="0.25">
      <c r="A315" s="1">
        <v>45689</v>
      </c>
      <c r="B315">
        <v>105.2835</v>
      </c>
      <c r="C315">
        <f t="shared" si="8"/>
        <v>0.98900000000000432</v>
      </c>
      <c r="D315">
        <v>-0.25</v>
      </c>
      <c r="E315">
        <v>2.2487069160410699E-3</v>
      </c>
      <c r="F315">
        <v>138.726</v>
      </c>
      <c r="G315">
        <v>137.79265784770001</v>
      </c>
      <c r="H315">
        <v>3.77</v>
      </c>
      <c r="I315">
        <v>3.65</v>
      </c>
      <c r="J315">
        <v>9.4499999999999993</v>
      </c>
      <c r="K315">
        <v>3.92</v>
      </c>
      <c r="L315">
        <v>3.7</v>
      </c>
      <c r="M315">
        <v>3.7</v>
      </c>
      <c r="N315">
        <v>3.68</v>
      </c>
      <c r="O315">
        <v>3.6</v>
      </c>
      <c r="P315">
        <v>3.58</v>
      </c>
      <c r="Q315">
        <v>20.457100000000001</v>
      </c>
      <c r="R315">
        <v>319.67899999999997</v>
      </c>
      <c r="S315">
        <v>3.018330010496971</v>
      </c>
      <c r="T315">
        <f t="shared" si="9"/>
        <v>-0.44822674607618573</v>
      </c>
      <c r="U315">
        <v>4.9325007646920209</v>
      </c>
      <c r="V315">
        <v>5.767317367327168</v>
      </c>
      <c r="W315">
        <v>3.8531466131321181</v>
      </c>
      <c r="X315">
        <v>0</v>
      </c>
      <c r="Z315">
        <v>101.0993</v>
      </c>
      <c r="AA315">
        <v>2.8015834477613346</v>
      </c>
      <c r="AB315">
        <v>4.33</v>
      </c>
      <c r="AC315">
        <v>4.33</v>
      </c>
      <c r="AD315">
        <v>4.4660000000000002</v>
      </c>
      <c r="AE315">
        <v>0</v>
      </c>
      <c r="AF315">
        <v>-0.25</v>
      </c>
      <c r="AG315">
        <v>-0.1755049421599531</v>
      </c>
    </row>
    <row r="316" spans="1:33" x14ac:dyDescent="0.25">
      <c r="A316" s="1">
        <v>45717</v>
      </c>
      <c r="B316">
        <v>104.976</v>
      </c>
      <c r="C316">
        <f t="shared" si="8"/>
        <v>-0.30750000000000455</v>
      </c>
      <c r="D316">
        <v>0</v>
      </c>
      <c r="E316">
        <v>-1.5104078818630701E-3</v>
      </c>
      <c r="F316">
        <v>139.161</v>
      </c>
      <c r="G316">
        <v>138.3860988941</v>
      </c>
      <c r="H316">
        <v>3.8</v>
      </c>
      <c r="I316">
        <v>3.64</v>
      </c>
      <c r="J316">
        <v>9.1</v>
      </c>
      <c r="K316">
        <v>3.92</v>
      </c>
      <c r="L316">
        <v>3.61</v>
      </c>
      <c r="M316">
        <v>3.7</v>
      </c>
      <c r="N316">
        <v>3.61</v>
      </c>
      <c r="O316">
        <v>3.6</v>
      </c>
      <c r="P316">
        <v>3.54</v>
      </c>
      <c r="Q316">
        <v>20.241700000000002</v>
      </c>
      <c r="R316">
        <v>319.78500000000003</v>
      </c>
      <c r="S316">
        <v>3.007744832986988</v>
      </c>
      <c r="T316">
        <f t="shared" si="9"/>
        <v>-1.0585177509983001</v>
      </c>
      <c r="U316">
        <v>4.9356315362309031</v>
      </c>
      <c r="V316">
        <v>5.7676488949846147</v>
      </c>
      <c r="W316">
        <v>3.8397621917406992</v>
      </c>
      <c r="X316">
        <v>0</v>
      </c>
      <c r="Z316">
        <v>101.04040000000001</v>
      </c>
      <c r="AA316">
        <v>2.3819814628055505</v>
      </c>
      <c r="AB316">
        <v>4.33</v>
      </c>
      <c r="AC316">
        <v>4.33</v>
      </c>
      <c r="AD316">
        <v>4.351</v>
      </c>
      <c r="AE316">
        <v>0</v>
      </c>
      <c r="AF316" s="5">
        <v>0</v>
      </c>
      <c r="AG316">
        <v>0</v>
      </c>
    </row>
    <row r="317" spans="1:33" x14ac:dyDescent="0.25">
      <c r="A317" s="1">
        <v>45748</v>
      </c>
      <c r="B317">
        <v>104.6798</v>
      </c>
      <c r="C317">
        <f t="shared" si="8"/>
        <v>-0.29619999999999891</v>
      </c>
      <c r="D317">
        <v>0</v>
      </c>
      <c r="E317">
        <v>-5.1523407273785802E-3</v>
      </c>
      <c r="F317">
        <v>139.62</v>
      </c>
      <c r="G317">
        <v>139.0654947674</v>
      </c>
      <c r="H317">
        <v>3.93</v>
      </c>
      <c r="I317">
        <v>3.93</v>
      </c>
      <c r="J317">
        <v>8.81</v>
      </c>
      <c r="K317">
        <v>3.79</v>
      </c>
      <c r="L317">
        <v>3.56</v>
      </c>
      <c r="M317">
        <v>3.7</v>
      </c>
      <c r="N317">
        <v>3.66</v>
      </c>
      <c r="O317">
        <v>3.6</v>
      </c>
      <c r="P317">
        <v>3.54</v>
      </c>
      <c r="Q317">
        <v>20.0564</v>
      </c>
      <c r="R317">
        <v>320.30200000000002</v>
      </c>
      <c r="S317">
        <v>2.9985483048134718</v>
      </c>
      <c r="T317">
        <f t="shared" si="9"/>
        <v>-0.91965281735162385</v>
      </c>
      <c r="U317">
        <v>4.9389244465422557</v>
      </c>
      <c r="V317">
        <v>5.7692643007417308</v>
      </c>
      <c r="W317">
        <v>3.8288881590129482</v>
      </c>
      <c r="X317">
        <v>0</v>
      </c>
      <c r="Z317">
        <v>101.1279</v>
      </c>
      <c r="AA317">
        <v>2.3253882302578393</v>
      </c>
      <c r="AB317">
        <v>4.33</v>
      </c>
      <c r="AC317">
        <v>4.33</v>
      </c>
      <c r="AD317">
        <v>4.2050000000000001</v>
      </c>
      <c r="AE317">
        <v>0</v>
      </c>
      <c r="AF317">
        <v>0</v>
      </c>
      <c r="AG317">
        <v>0</v>
      </c>
    </row>
    <row r="318" spans="1:33" x14ac:dyDescent="0.25">
      <c r="A318" s="1">
        <v>45778</v>
      </c>
      <c r="B318">
        <v>104.8777</v>
      </c>
      <c r="C318">
        <f t="shared" si="8"/>
        <v>0.19790000000000418</v>
      </c>
      <c r="D318">
        <v>0</v>
      </c>
      <c r="E318">
        <v>-4.0658202113839099E-3</v>
      </c>
      <c r="F318">
        <v>140.012</v>
      </c>
      <c r="G318">
        <v>139.47605225390001</v>
      </c>
      <c r="H318">
        <v>4.42</v>
      </c>
      <c r="I318">
        <v>4.0599999999999996</v>
      </c>
      <c r="J318">
        <v>8.31</v>
      </c>
      <c r="K318">
        <v>3.59</v>
      </c>
      <c r="L318">
        <v>3.6</v>
      </c>
      <c r="M318">
        <v>3.7</v>
      </c>
      <c r="N318">
        <v>3.65</v>
      </c>
      <c r="O318">
        <v>3.6</v>
      </c>
      <c r="P318">
        <v>3.5</v>
      </c>
      <c r="Q318">
        <v>19.435500000000001</v>
      </c>
      <c r="R318">
        <v>320.62</v>
      </c>
      <c r="S318">
        <v>2.967101290754838</v>
      </c>
      <c r="T318">
        <f t="shared" si="9"/>
        <v>-3.1447014058633815</v>
      </c>
      <c r="U318">
        <v>4.9417281332217593</v>
      </c>
      <c r="V318">
        <v>5.7702566212615274</v>
      </c>
      <c r="W318">
        <v>3.7956297787946069</v>
      </c>
      <c r="X318">
        <v>0</v>
      </c>
      <c r="Z318">
        <v>100.96550000000001</v>
      </c>
      <c r="AA318">
        <v>2.3772651073680828</v>
      </c>
      <c r="AB318">
        <v>4.33</v>
      </c>
      <c r="AC318">
        <v>4.33</v>
      </c>
      <c r="AD318">
        <v>4.2329999999999997</v>
      </c>
      <c r="AE318">
        <v>0</v>
      </c>
      <c r="AF318">
        <v>0</v>
      </c>
      <c r="AG318">
        <v>-6.0604550832258353E-3</v>
      </c>
    </row>
    <row r="319" spans="1:33" x14ac:dyDescent="0.25">
      <c r="A319" s="1">
        <v>45809</v>
      </c>
      <c r="B319">
        <v>105.05249999999999</v>
      </c>
      <c r="C319">
        <f t="shared" si="8"/>
        <v>0.17479999999999052</v>
      </c>
      <c r="D319">
        <v>0</v>
      </c>
      <c r="E319">
        <v>-3.1919257377603901E-3</v>
      </c>
      <c r="F319">
        <v>140.405</v>
      </c>
      <c r="G319">
        <v>140.0255596335</v>
      </c>
      <c r="H319">
        <v>4.32</v>
      </c>
      <c r="I319">
        <v>4.24</v>
      </c>
      <c r="J319">
        <v>8.09</v>
      </c>
      <c r="K319">
        <v>3.56</v>
      </c>
      <c r="L319">
        <v>3.6</v>
      </c>
      <c r="M319">
        <v>3.7</v>
      </c>
      <c r="N319">
        <v>3.68</v>
      </c>
      <c r="O319">
        <v>3.62</v>
      </c>
      <c r="P319">
        <v>3.6</v>
      </c>
      <c r="Q319">
        <v>19.03</v>
      </c>
      <c r="R319">
        <v>321.435</v>
      </c>
      <c r="S319">
        <v>2.9460166813080582</v>
      </c>
      <c r="T319">
        <f t="shared" si="9"/>
        <v>-2.1084609446779812</v>
      </c>
      <c r="U319">
        <v>4.9445311034932118</v>
      </c>
      <c r="V319">
        <v>5.7727953459431554</v>
      </c>
      <c r="W319">
        <v>3.7742809237580031</v>
      </c>
      <c r="X319">
        <v>0</v>
      </c>
      <c r="Z319">
        <v>101.4785</v>
      </c>
      <c r="AA319">
        <v>2.6804538659102302</v>
      </c>
      <c r="AB319">
        <v>4.33</v>
      </c>
      <c r="AC319">
        <v>4.33</v>
      </c>
      <c r="AD319">
        <v>4.1319999999999997</v>
      </c>
      <c r="AE319">
        <v>0</v>
      </c>
      <c r="AF319">
        <v>-0.25</v>
      </c>
      <c r="AG319">
        <v>-0.15008711688514961</v>
      </c>
    </row>
    <row r="320" spans="1:33" x14ac:dyDescent="0.25">
      <c r="A320" s="1">
        <v>45839</v>
      </c>
      <c r="B320">
        <v>104.4744</v>
      </c>
      <c r="C320">
        <f t="shared" si="8"/>
        <v>-0.57809999999999206</v>
      </c>
      <c r="D320">
        <v>0</v>
      </c>
      <c r="E320">
        <v>-9.4937491985742604E-3</v>
      </c>
      <c r="F320">
        <v>140.78</v>
      </c>
      <c r="G320">
        <v>140.45448039199999</v>
      </c>
      <c r="H320">
        <v>3.51</v>
      </c>
      <c r="I320">
        <v>4.2300000000000004</v>
      </c>
      <c r="J320">
        <v>7.67</v>
      </c>
      <c r="K320">
        <v>3.66</v>
      </c>
      <c r="L320">
        <v>3.55</v>
      </c>
      <c r="M320">
        <v>3.73</v>
      </c>
      <c r="N320">
        <v>3.63</v>
      </c>
      <c r="O320">
        <v>3.6</v>
      </c>
      <c r="P320">
        <v>3.5</v>
      </c>
      <c r="Q320">
        <v>18.690899999999999</v>
      </c>
      <c r="R320">
        <v>322.16899999999998</v>
      </c>
      <c r="S320">
        <v>2.9280367744011979</v>
      </c>
      <c r="T320">
        <f t="shared" si="9"/>
        <v>-1.7979906906860244</v>
      </c>
      <c r="U320">
        <v>4.9471983881799853</v>
      </c>
      <c r="V320">
        <v>5.7750762525820871</v>
      </c>
      <c r="W320">
        <v>3.7559146388032998</v>
      </c>
      <c r="X320">
        <v>0</v>
      </c>
      <c r="Z320">
        <v>101.89400000000001</v>
      </c>
      <c r="AA320">
        <v>2.7426180521671357</v>
      </c>
      <c r="AB320">
        <v>4.33</v>
      </c>
      <c r="AC320">
        <v>4.33</v>
      </c>
      <c r="AD320">
        <v>4.1379999999999999</v>
      </c>
      <c r="AE320">
        <v>0</v>
      </c>
      <c r="AF320">
        <v>0</v>
      </c>
      <c r="AG320">
        <v>0</v>
      </c>
    </row>
    <row r="321" spans="1:33" x14ac:dyDescent="0.25">
      <c r="A321" s="1">
        <v>45870</v>
      </c>
      <c r="B321">
        <v>104.9706</v>
      </c>
      <c r="C321">
        <f t="shared" si="8"/>
        <v>0.49620000000000175</v>
      </c>
      <c r="D321">
        <v>0</v>
      </c>
      <c r="E321">
        <v>-5.5342304324090801E-3</v>
      </c>
      <c r="F321">
        <v>140.86699999999999</v>
      </c>
      <c r="G321">
        <v>140.7618912625</v>
      </c>
      <c r="H321">
        <v>3.57</v>
      </c>
      <c r="I321">
        <v>4.2300000000000004</v>
      </c>
      <c r="J321">
        <v>7.39</v>
      </c>
      <c r="K321">
        <v>3.76</v>
      </c>
      <c r="L321">
        <v>3.58</v>
      </c>
      <c r="M321">
        <v>3.7</v>
      </c>
      <c r="N321">
        <v>3.6</v>
      </c>
      <c r="O321">
        <v>3.5</v>
      </c>
      <c r="P321">
        <v>3.5</v>
      </c>
      <c r="Q321">
        <v>18.706299999999999</v>
      </c>
      <c r="R321">
        <v>323.291</v>
      </c>
      <c r="S321">
        <v>2.9288603655187408</v>
      </c>
      <c r="T321">
        <f t="shared" si="9"/>
        <v>8.2359111754293224E-2</v>
      </c>
      <c r="U321">
        <v>4.9478161828148801</v>
      </c>
      <c r="V321">
        <v>5.7785528464224702</v>
      </c>
      <c r="W321">
        <v>3.7595970291263319</v>
      </c>
      <c r="X321">
        <v>0</v>
      </c>
      <c r="Z321">
        <v>101.6247</v>
      </c>
      <c r="AA321">
        <v>2.9385917430316257</v>
      </c>
      <c r="AB321">
        <v>4.33</v>
      </c>
      <c r="AC321">
        <v>4.33</v>
      </c>
      <c r="AD321">
        <v>3.9940000000000002</v>
      </c>
      <c r="AE321">
        <v>0</v>
      </c>
      <c r="AF321">
        <v>-0.25</v>
      </c>
      <c r="AG321">
        <v>-0.16609135954457938</v>
      </c>
    </row>
    <row r="322" spans="1:33" x14ac:dyDescent="0.25">
      <c r="A322" s="1">
        <v>45901</v>
      </c>
      <c r="B322">
        <v>104.51179999999999</v>
      </c>
      <c r="C322">
        <f t="shared" si="8"/>
        <v>-0.45880000000001075</v>
      </c>
      <c r="D322">
        <v>0</v>
      </c>
      <c r="E322">
        <v>-1.0690509605866301E-2</v>
      </c>
      <c r="F322">
        <v>141.197</v>
      </c>
      <c r="G322">
        <v>141.2271011213</v>
      </c>
      <c r="H322">
        <v>3.76</v>
      </c>
      <c r="I322">
        <v>4.28</v>
      </c>
      <c r="J322">
        <v>7.29</v>
      </c>
      <c r="K322">
        <v>3.76</v>
      </c>
      <c r="L322">
        <v>3.69</v>
      </c>
      <c r="M322">
        <v>3.74</v>
      </c>
      <c r="N322">
        <v>3.67</v>
      </c>
      <c r="O322">
        <v>3.6</v>
      </c>
      <c r="P322">
        <v>3.6</v>
      </c>
      <c r="Q322">
        <v>18.498999999999999</v>
      </c>
      <c r="R322">
        <v>324.245</v>
      </c>
      <c r="S322">
        <v>2.9177166765692522</v>
      </c>
      <c r="T322">
        <f t="shared" si="9"/>
        <v>-1.1143688949488695</v>
      </c>
      <c r="U322">
        <v>4.9501560783745093</v>
      </c>
      <c r="V322">
        <v>5.7814994028771984</v>
      </c>
      <c r="W322">
        <v>3.7490600010719421</v>
      </c>
      <c r="X322">
        <v>0</v>
      </c>
      <c r="Z322">
        <v>101.66800000000001</v>
      </c>
      <c r="AA322">
        <v>3.0225715847133356</v>
      </c>
      <c r="AB322">
        <v>4.22</v>
      </c>
      <c r="AC322">
        <v>4.22</v>
      </c>
      <c r="AD322">
        <v>3.8650000000000002</v>
      </c>
      <c r="AE322">
        <v>0</v>
      </c>
      <c r="AF322">
        <v>0</v>
      </c>
      <c r="AG322">
        <v>-6.0604550832258353E-3</v>
      </c>
    </row>
    <row r="323" spans="1:33" x14ac:dyDescent="0.25">
      <c r="A323" s="1">
        <v>45931</v>
      </c>
      <c r="B323">
        <v>105.5346</v>
      </c>
      <c r="C323">
        <f t="shared" si="8"/>
        <v>1.0228000000000037</v>
      </c>
      <c r="D323">
        <v>0</v>
      </c>
      <c r="E323">
        <v>-1.7265864583286799E-3</v>
      </c>
      <c r="F323">
        <v>141.708</v>
      </c>
      <c r="G323">
        <v>141.630370924</v>
      </c>
      <c r="H323">
        <v>3.57</v>
      </c>
      <c r="I323">
        <v>4.28</v>
      </c>
      <c r="J323">
        <v>7.25</v>
      </c>
      <c r="K323">
        <v>3.91</v>
      </c>
      <c r="L323">
        <v>3.78</v>
      </c>
      <c r="M323">
        <v>3.77</v>
      </c>
      <c r="N323">
        <v>3.7</v>
      </c>
      <c r="O323">
        <v>3.6</v>
      </c>
      <c r="P323">
        <v>3.6</v>
      </c>
      <c r="Q323">
        <v>18.429600000000001</v>
      </c>
      <c r="R323">
        <f>AVERAGE(R322,R324)</f>
        <v>324.654</v>
      </c>
      <c r="S323">
        <v>2.913958067702306</v>
      </c>
      <c r="T323">
        <f t="shared" si="9"/>
        <v>-0.37586088669461226</v>
      </c>
      <c r="U323">
        <v>4.9537686024071448</v>
      </c>
      <c r="V323">
        <f>LN(R323)</f>
        <v>5.7827599998396284</v>
      </c>
      <c r="W323">
        <f>S323+V323-U323</f>
        <v>3.7429494651347888</v>
      </c>
      <c r="X323">
        <v>0</v>
      </c>
      <c r="Z323">
        <v>101.2195</v>
      </c>
      <c r="AA323">
        <v>2.8587179332828607</v>
      </c>
      <c r="AB323">
        <v>4.09</v>
      </c>
      <c r="AC323">
        <v>4.09</v>
      </c>
      <c r="AD323">
        <v>4.008</v>
      </c>
      <c r="AE323">
        <v>0</v>
      </c>
      <c r="AF323">
        <v>0</v>
      </c>
      <c r="AG323">
        <v>0</v>
      </c>
    </row>
    <row r="324" spans="1:33" x14ac:dyDescent="0.25">
      <c r="A324" s="1">
        <v>45962</v>
      </c>
      <c r="B324">
        <v>105.4436</v>
      </c>
      <c r="C324">
        <f t="shared" ref="C324:C330" si="10">B324-B323</f>
        <v>-9.0999999999993975E-2</v>
      </c>
      <c r="D324">
        <v>0</v>
      </c>
      <c r="E324">
        <v>-3.3642267975739801E-3</v>
      </c>
      <c r="F324">
        <v>142.64500000000001</v>
      </c>
      <c r="G324">
        <v>141.89567221429999</v>
      </c>
      <c r="H324">
        <v>3.8</v>
      </c>
      <c r="I324">
        <v>4.43</v>
      </c>
      <c r="J324">
        <v>7.19</v>
      </c>
      <c r="K324">
        <v>3.92</v>
      </c>
      <c r="L324">
        <v>3.87</v>
      </c>
      <c r="M324">
        <v>3.75</v>
      </c>
      <c r="N324">
        <v>3.75</v>
      </c>
      <c r="O324">
        <v>3.6</v>
      </c>
      <c r="P324">
        <v>3.6</v>
      </c>
      <c r="Q324">
        <v>18.418500000000002</v>
      </c>
      <c r="R324">
        <v>325.06299999999999</v>
      </c>
      <c r="S324">
        <v>2.9133555942865401</v>
      </c>
      <c r="T324">
        <f t="shared" ref="T324:T330" si="11">(S324-S323)*100</f>
        <v>-6.0247341576591396E-2</v>
      </c>
      <c r="U324">
        <v>4.9603590262215196</v>
      </c>
      <c r="V324">
        <v>5.7840190096978459</v>
      </c>
      <c r="W324">
        <v>3.737015577762866</v>
      </c>
      <c r="X324">
        <v>0</v>
      </c>
      <c r="Z324">
        <v>101.03440000000001</v>
      </c>
      <c r="AA324">
        <v>2.6964439164939491</v>
      </c>
      <c r="AB324">
        <v>3.88</v>
      </c>
      <c r="AC324">
        <v>3.88</v>
      </c>
      <c r="AD324">
        <v>4.0279999999999996</v>
      </c>
      <c r="AE324">
        <v>0</v>
      </c>
      <c r="AF324">
        <v>0</v>
      </c>
      <c r="AG324">
        <v>-6.0604550832258353E-3</v>
      </c>
    </row>
    <row r="325" spans="1:33" x14ac:dyDescent="0.25">
      <c r="A325" s="1">
        <v>45992</v>
      </c>
      <c r="B325">
        <v>105.8587</v>
      </c>
      <c r="C325">
        <f t="shared" si="10"/>
        <v>0.41509999999999536</v>
      </c>
      <c r="D325">
        <v>0</v>
      </c>
      <c r="E325">
        <v>-2.1119820161974399E-4</v>
      </c>
      <c r="F325">
        <v>143.042</v>
      </c>
      <c r="G325">
        <v>142.47448303979999</v>
      </c>
      <c r="H325">
        <v>3.69</v>
      </c>
      <c r="I325">
        <v>4.33</v>
      </c>
      <c r="J325">
        <v>7.16</v>
      </c>
      <c r="K325">
        <f>AVERAGE(K324,K326)</f>
        <v>3.95</v>
      </c>
      <c r="L325">
        <f>AVERAGE(L324,L326)</f>
        <v>3.895</v>
      </c>
      <c r="M325">
        <v>3.75</v>
      </c>
      <c r="N325">
        <v>3.75</v>
      </c>
      <c r="O325">
        <v>3.63</v>
      </c>
      <c r="P325">
        <v>3.6</v>
      </c>
      <c r="Q325">
        <v>18.073899999999998</v>
      </c>
      <c r="R325">
        <v>326.03100000000001</v>
      </c>
      <c r="S325">
        <v>2.8944689086548969</v>
      </c>
      <c r="T325">
        <f t="shared" si="11"/>
        <v>-1.8886685631643196</v>
      </c>
      <c r="U325">
        <v>4.9631382934303634</v>
      </c>
      <c r="V325">
        <v>5.7869924688702872</v>
      </c>
      <c r="W325">
        <v>3.718323084094822</v>
      </c>
      <c r="X325">
        <v>0</v>
      </c>
      <c r="Z325">
        <v>101.4941</v>
      </c>
      <c r="AA325">
        <v>2.6533041145577578</v>
      </c>
      <c r="AB325">
        <v>3.72</v>
      </c>
      <c r="AC325">
        <v>3.72</v>
      </c>
      <c r="AD325">
        <v>4.24</v>
      </c>
      <c r="AE325">
        <v>0</v>
      </c>
      <c r="AF325">
        <v>0</v>
      </c>
      <c r="AG325">
        <v>-6.0604550832258353E-3</v>
      </c>
    </row>
    <row r="326" spans="1:33" x14ac:dyDescent="0.25">
      <c r="A326" s="1">
        <v>46023</v>
      </c>
      <c r="B326">
        <v>104.7897</v>
      </c>
      <c r="C326">
        <f t="shared" si="10"/>
        <v>-1.0690000000000026</v>
      </c>
      <c r="D326">
        <v>0</v>
      </c>
      <c r="E326">
        <v>-1.11384783178847E-2</v>
      </c>
      <c r="F326">
        <v>143.58799999999999</v>
      </c>
      <c r="G326">
        <v>143.33132591270001</v>
      </c>
      <c r="H326">
        <v>3.79</v>
      </c>
      <c r="I326">
        <v>4.5199999999999996</v>
      </c>
      <c r="J326">
        <v>7</v>
      </c>
      <c r="K326">
        <v>3.98</v>
      </c>
      <c r="L326">
        <v>3.92</v>
      </c>
      <c r="M326">
        <v>3.75</v>
      </c>
      <c r="N326">
        <v>3.75</v>
      </c>
      <c r="O326">
        <v>3.6</v>
      </c>
      <c r="P326">
        <v>3.6</v>
      </c>
      <c r="Q326">
        <v>17.6449</v>
      </c>
      <c r="R326">
        <v>326.58800000000002</v>
      </c>
      <c r="S326">
        <v>2.870446789783319</v>
      </c>
      <c r="T326">
        <f t="shared" si="11"/>
        <v>-2.4022118871577902</v>
      </c>
      <c r="U326">
        <v>4.9669480876627263</v>
      </c>
      <c r="V326">
        <v>5.7886994376690701</v>
      </c>
      <c r="W326">
        <v>3.6921981397896628</v>
      </c>
      <c r="X326">
        <v>0</v>
      </c>
      <c r="Z326">
        <v>101.03879999999999</v>
      </c>
      <c r="AA326">
        <v>2.391201432150015</v>
      </c>
      <c r="AB326">
        <v>3.64</v>
      </c>
      <c r="AC326">
        <v>3.64</v>
      </c>
      <c r="AD326">
        <v>4.2640000000000002</v>
      </c>
      <c r="AE326">
        <v>0</v>
      </c>
      <c r="AF326">
        <v>0</v>
      </c>
      <c r="AG326">
        <v>0</v>
      </c>
    </row>
    <row r="327" spans="1:33" x14ac:dyDescent="0.25">
      <c r="A327" s="1">
        <v>46054</v>
      </c>
      <c r="B327">
        <v>105.0838</v>
      </c>
      <c r="C327">
        <f t="shared" si="10"/>
        <v>0.29410000000000025</v>
      </c>
      <c r="D327">
        <v>0</v>
      </c>
      <c r="E327">
        <v>-9.1157156053274201E-3</v>
      </c>
      <c r="F327">
        <v>144.30699999999999</v>
      </c>
      <c r="G327">
        <v>143.989760225</v>
      </c>
      <c r="H327">
        <v>4.0199999999999996</v>
      </c>
      <c r="I327">
        <v>4.5</v>
      </c>
      <c r="J327">
        <v>6.86</v>
      </c>
      <c r="K327">
        <v>3.93</v>
      </c>
      <c r="L327">
        <v>3.83</v>
      </c>
      <c r="M327">
        <v>3.75</v>
      </c>
      <c r="N327">
        <v>3.72</v>
      </c>
      <c r="O327">
        <v>3.64</v>
      </c>
      <c r="P327">
        <v>3.6</v>
      </c>
      <c r="Q327">
        <v>17.222799999999999</v>
      </c>
      <c r="R327">
        <v>327.45999999999998</v>
      </c>
      <c r="S327">
        <v>2.8462340874073888</v>
      </c>
      <c r="T327">
        <f t="shared" si="11"/>
        <v>-2.4212702375930206</v>
      </c>
      <c r="U327">
        <v>4.9719429746517596</v>
      </c>
      <c r="V327">
        <v>5.7913659102113462</v>
      </c>
      <c r="W327">
        <v>3.6656570229669749</v>
      </c>
      <c r="X327">
        <v>0</v>
      </c>
      <c r="Z327">
        <v>101.9053</v>
      </c>
      <c r="AA327">
        <v>2.4340041103732202</v>
      </c>
      <c r="AB327">
        <v>3.64</v>
      </c>
      <c r="AC327">
        <v>3.64</v>
      </c>
      <c r="AD327">
        <v>4.2910000000000004</v>
      </c>
      <c r="AE327">
        <v>0</v>
      </c>
      <c r="AF327">
        <v>0</v>
      </c>
      <c r="AG327">
        <v>-6.0604550832258353E-3</v>
      </c>
    </row>
    <row r="328" spans="1:33" x14ac:dyDescent="0.25">
      <c r="A328" s="1">
        <v>46082</v>
      </c>
      <c r="B328">
        <v>105.5938</v>
      </c>
      <c r="C328">
        <f t="shared" si="10"/>
        <v>0.51000000000000512</v>
      </c>
      <c r="D328">
        <v>0</v>
      </c>
      <c r="E328">
        <v>-5.0562593778886696E-3</v>
      </c>
      <c r="F328">
        <v>145.54400000000001</v>
      </c>
      <c r="G328">
        <v>144.5434289049</v>
      </c>
      <c r="H328">
        <v>4.59</v>
      </c>
      <c r="I328">
        <v>4.45</v>
      </c>
      <c r="J328">
        <v>6.81</v>
      </c>
      <c r="K328">
        <v>3.76</v>
      </c>
      <c r="L328">
        <v>3.88</v>
      </c>
      <c r="M328">
        <v>3.8</v>
      </c>
      <c r="N328">
        <v>3.73</v>
      </c>
      <c r="O328">
        <v>3.7</v>
      </c>
      <c r="P328">
        <v>3.6</v>
      </c>
      <c r="Q328">
        <v>17.769200000000001</v>
      </c>
      <c r="R328">
        <v>330.29300000000001</v>
      </c>
      <c r="S328">
        <v>2.8774666214570259</v>
      </c>
      <c r="T328">
        <f t="shared" si="11"/>
        <v>3.1232534049637106</v>
      </c>
      <c r="U328">
        <v>4.9804784463945024</v>
      </c>
      <c r="V328">
        <v>5.7999801393171921</v>
      </c>
      <c r="W328">
        <v>3.6969683143797161</v>
      </c>
      <c r="X328">
        <v>-4.761904761904745E-2</v>
      </c>
      <c r="Z328">
        <v>101.7543</v>
      </c>
      <c r="AA328">
        <v>3.2859577528652006</v>
      </c>
      <c r="AB328">
        <v>3.64</v>
      </c>
      <c r="AC328">
        <v>3.64</v>
      </c>
      <c r="AD328">
        <v>4.4080000000000004</v>
      </c>
      <c r="AE328">
        <v>0</v>
      </c>
      <c r="AF328">
        <v>-2</v>
      </c>
      <c r="AG328">
        <v>-1.218914735183698</v>
      </c>
    </row>
    <row r="329" spans="1:33" x14ac:dyDescent="0.25">
      <c r="A329" s="1">
        <v>46113</v>
      </c>
      <c r="B329">
        <v>107.33</v>
      </c>
      <c r="C329">
        <f t="shared" si="10"/>
        <v>1.7361999999999966</v>
      </c>
      <c r="D329">
        <v>0</v>
      </c>
      <c r="E329">
        <v>1.04687549197209E-2</v>
      </c>
      <c r="F329">
        <v>145.83099999999999</v>
      </c>
      <c r="G329">
        <v>144.99132903860001</v>
      </c>
      <c r="H329">
        <v>4.45</v>
      </c>
      <c r="I329">
        <v>4.26</v>
      </c>
      <c r="J329">
        <v>6.58</v>
      </c>
      <c r="K329">
        <v>3.67</v>
      </c>
      <c r="L329">
        <v>3.83</v>
      </c>
      <c r="M329">
        <v>3.8</v>
      </c>
      <c r="N329">
        <v>3.8</v>
      </c>
      <c r="O329">
        <v>3.7</v>
      </c>
      <c r="P329">
        <v>3.75</v>
      </c>
      <c r="Q329">
        <v>17.418700000000001</v>
      </c>
      <c r="R329">
        <v>332.40699999999998</v>
      </c>
      <c r="S329">
        <v>2.8575443417739619</v>
      </c>
      <c r="T329">
        <f t="shared" si="11"/>
        <v>-1.9922279683064037</v>
      </c>
      <c r="U329">
        <v>4.9824484170015584</v>
      </c>
      <c r="V329">
        <v>5.8063601217246594</v>
      </c>
      <c r="W329">
        <v>3.6814560464970629</v>
      </c>
      <c r="X329">
        <v>-0.25</v>
      </c>
      <c r="Z329">
        <v>102.5198</v>
      </c>
      <c r="AA329">
        <v>3.7792458367415627</v>
      </c>
      <c r="AB329">
        <v>3.64</v>
      </c>
      <c r="AC329">
        <v>3.64</v>
      </c>
      <c r="AD329">
        <v>4.2889999999999997</v>
      </c>
      <c r="AE329">
        <v>-0.25</v>
      </c>
      <c r="AF329">
        <v>0</v>
      </c>
      <c r="AG329">
        <v>0</v>
      </c>
    </row>
    <row r="330" spans="1:33" x14ac:dyDescent="0.25">
      <c r="A330" s="1">
        <v>46143</v>
      </c>
      <c r="B330">
        <v>106.8539</v>
      </c>
      <c r="C330">
        <f t="shared" si="10"/>
        <v>-0.47610000000000241</v>
      </c>
      <c r="D330">
        <v>0</v>
      </c>
      <c r="E330">
        <v>5.2391426935214404E-3</v>
      </c>
      <c r="F330">
        <v>145.52699999999999</v>
      </c>
      <c r="G330">
        <v>145.3152989928</v>
      </c>
      <c r="H330">
        <v>3.94</v>
      </c>
      <c r="I330">
        <v>4.1900000000000004</v>
      </c>
      <c r="J330">
        <v>6.47</v>
      </c>
      <c r="K330">
        <v>3.8</v>
      </c>
      <c r="L330">
        <v>3.91</v>
      </c>
      <c r="M330">
        <v>3.8</v>
      </c>
      <c r="N330">
        <v>3.8</v>
      </c>
      <c r="O330">
        <v>3.75</v>
      </c>
      <c r="P330">
        <v>3.73</v>
      </c>
      <c r="Q330">
        <v>17.3034</v>
      </c>
      <c r="R330">
        <v>333.97899999999998</v>
      </c>
      <c r="S330">
        <v>2.850903013985798</v>
      </c>
      <c r="T330">
        <f t="shared" si="11"/>
        <v>-0.66413277881638422</v>
      </c>
      <c r="U330">
        <v>4.9803616364064283</v>
      </c>
      <c r="V330">
        <v>5.8110781167485346</v>
      </c>
      <c r="W330">
        <v>3.6816194943279039</v>
      </c>
      <c r="X330">
        <v>-3.7500000000000533E-2</v>
      </c>
      <c r="Z330">
        <v>102.5099</v>
      </c>
      <c r="AA330">
        <v>4.1666146840496481</v>
      </c>
      <c r="AB330">
        <v>3.63</v>
      </c>
      <c r="AC330">
        <v>3.63</v>
      </c>
      <c r="AD330">
        <v>4.5270000000000001</v>
      </c>
      <c r="AE330">
        <v>-3.7500000000000533E-2</v>
      </c>
      <c r="AF330" s="5">
        <v>0</v>
      </c>
      <c r="AG330">
        <v>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AC77B-B903-48F1-A2E0-3B0616706D86}">
  <dimension ref="A1:F330"/>
  <sheetViews>
    <sheetView workbookViewId="0">
      <selection activeCell="E110" sqref="E110:E330"/>
    </sheetView>
  </sheetViews>
  <sheetFormatPr baseColWidth="10" defaultRowHeight="15" x14ac:dyDescent="0.25"/>
  <cols>
    <col min="1" max="1" width="13.7109375" customWidth="1"/>
    <col min="4" max="4" width="13.28515625" customWidth="1"/>
    <col min="6" max="6" width="14.85546875" customWidth="1"/>
  </cols>
  <sheetData>
    <row r="1" spans="1:6" x14ac:dyDescent="0.25">
      <c r="A1" s="3" t="s">
        <v>0</v>
      </c>
      <c r="B1" t="s">
        <v>28</v>
      </c>
      <c r="E1" t="s">
        <v>18</v>
      </c>
    </row>
    <row r="2" spans="1:6" x14ac:dyDescent="0.25">
      <c r="A2" s="3">
        <v>36161</v>
      </c>
      <c r="B2">
        <v>-1.1250488999869499E-2</v>
      </c>
      <c r="E2">
        <v>0</v>
      </c>
    </row>
    <row r="3" spans="1:6" x14ac:dyDescent="0.25">
      <c r="A3" s="3">
        <v>36192</v>
      </c>
      <c r="B3">
        <v>-1.46125251264255E-2</v>
      </c>
      <c r="C3">
        <f>B3-B2</f>
        <v>-3.3620361265560006E-3</v>
      </c>
      <c r="D3" t="b">
        <f>IF(C3&gt;0,TRUE)</f>
        <v>0</v>
      </c>
      <c r="E3">
        <v>0</v>
      </c>
      <c r="F3" t="b">
        <f>IF(E3&gt;0, TRUE)</f>
        <v>0</v>
      </c>
    </row>
    <row r="4" spans="1:6" x14ac:dyDescent="0.25">
      <c r="A4" s="3">
        <v>36220</v>
      </c>
      <c r="B4">
        <v>-1.3183838330907501E-2</v>
      </c>
      <c r="C4">
        <f t="shared" ref="C4:C67" si="0">B4-B3</f>
        <v>1.4286867955179989E-3</v>
      </c>
      <c r="D4" t="b">
        <f t="shared" ref="D4:D67" si="1">IF(C4&gt;0,TRUE)</f>
        <v>1</v>
      </c>
      <c r="E4">
        <v>0</v>
      </c>
      <c r="F4" t="b">
        <f t="shared" ref="F4:F67" si="2">IF(E4&gt;0, TRUE)</f>
        <v>0</v>
      </c>
    </row>
    <row r="5" spans="1:6" x14ac:dyDescent="0.25">
      <c r="A5" s="3">
        <v>36251</v>
      </c>
      <c r="B5">
        <v>-1.28846192132235E-2</v>
      </c>
      <c r="C5">
        <f t="shared" si="0"/>
        <v>2.9921911768400131E-4</v>
      </c>
      <c r="D5" t="b">
        <f t="shared" si="1"/>
        <v>1</v>
      </c>
      <c r="E5">
        <v>0</v>
      </c>
      <c r="F5" t="b">
        <f t="shared" si="2"/>
        <v>0</v>
      </c>
    </row>
    <row r="6" spans="1:6" x14ac:dyDescent="0.25">
      <c r="A6" s="3">
        <v>36281</v>
      </c>
      <c r="B6">
        <v>-1.09835774741622E-2</v>
      </c>
      <c r="C6">
        <f t="shared" si="0"/>
        <v>1.9010417390612992E-3</v>
      </c>
      <c r="D6" t="b">
        <f t="shared" si="1"/>
        <v>1</v>
      </c>
      <c r="E6">
        <v>0</v>
      </c>
      <c r="F6" t="b">
        <f t="shared" si="2"/>
        <v>0</v>
      </c>
    </row>
    <row r="7" spans="1:6" x14ac:dyDescent="0.25">
      <c r="A7" s="3">
        <v>36312</v>
      </c>
      <c r="B7">
        <v>-1.7267783318747999E-2</v>
      </c>
      <c r="C7">
        <f t="shared" si="0"/>
        <v>-6.2842058445857982E-3</v>
      </c>
      <c r="D7" t="b">
        <f t="shared" si="1"/>
        <v>0</v>
      </c>
      <c r="E7">
        <v>0</v>
      </c>
      <c r="F7" t="b">
        <f t="shared" si="2"/>
        <v>0</v>
      </c>
    </row>
    <row r="8" spans="1:6" x14ac:dyDescent="0.25">
      <c r="A8" s="3">
        <v>36342</v>
      </c>
      <c r="B8">
        <v>-1.1475885916026701E-2</v>
      </c>
      <c r="C8">
        <f t="shared" si="0"/>
        <v>5.791897402721298E-3</v>
      </c>
      <c r="D8" t="b">
        <f t="shared" si="1"/>
        <v>1</v>
      </c>
      <c r="E8">
        <v>0</v>
      </c>
      <c r="F8" t="b">
        <f t="shared" si="2"/>
        <v>0</v>
      </c>
    </row>
    <row r="9" spans="1:6" x14ac:dyDescent="0.25">
      <c r="A9" s="3">
        <v>36373</v>
      </c>
      <c r="B9">
        <v>-1.4703985667882301E-2</v>
      </c>
      <c r="C9">
        <f t="shared" si="0"/>
        <v>-3.2280997518556002E-3</v>
      </c>
      <c r="D9" t="b">
        <f t="shared" si="1"/>
        <v>0</v>
      </c>
      <c r="E9">
        <v>0</v>
      </c>
      <c r="F9" t="b">
        <f t="shared" si="2"/>
        <v>0</v>
      </c>
    </row>
    <row r="10" spans="1:6" x14ac:dyDescent="0.25">
      <c r="A10" s="3">
        <v>36404</v>
      </c>
      <c r="B10">
        <v>-7.21960189572268E-3</v>
      </c>
      <c r="C10">
        <f t="shared" si="0"/>
        <v>7.4843837721596208E-3</v>
      </c>
      <c r="D10" t="b">
        <f t="shared" si="1"/>
        <v>1</v>
      </c>
      <c r="E10">
        <v>0</v>
      </c>
      <c r="F10" t="b">
        <f t="shared" si="2"/>
        <v>0</v>
      </c>
    </row>
    <row r="11" spans="1:6" x14ac:dyDescent="0.25">
      <c r="A11" s="3">
        <v>36434</v>
      </c>
      <c r="B11">
        <v>-1.0548846977305199E-2</v>
      </c>
      <c r="C11">
        <f t="shared" si="0"/>
        <v>-3.3292450815825192E-3</v>
      </c>
      <c r="D11" t="b">
        <f t="shared" si="1"/>
        <v>0</v>
      </c>
      <c r="E11">
        <v>0</v>
      </c>
      <c r="F11" t="b">
        <f t="shared" si="2"/>
        <v>0</v>
      </c>
    </row>
    <row r="12" spans="1:6" x14ac:dyDescent="0.25">
      <c r="A12" s="3">
        <v>36465</v>
      </c>
      <c r="B12">
        <v>-9.72716611201907E-3</v>
      </c>
      <c r="C12">
        <f t="shared" si="0"/>
        <v>8.2168086528612919E-4</v>
      </c>
      <c r="D12" t="b">
        <f t="shared" si="1"/>
        <v>1</v>
      </c>
      <c r="E12">
        <v>0</v>
      </c>
      <c r="F12" t="b">
        <f t="shared" si="2"/>
        <v>0</v>
      </c>
    </row>
    <row r="13" spans="1:6" x14ac:dyDescent="0.25">
      <c r="A13" s="3">
        <v>36495</v>
      </c>
      <c r="B13">
        <v>-2.1726464957438898E-3</v>
      </c>
      <c r="C13">
        <f t="shared" si="0"/>
        <v>7.5545196162751802E-3</v>
      </c>
      <c r="D13" t="b">
        <f t="shared" si="1"/>
        <v>1</v>
      </c>
      <c r="E13">
        <v>0</v>
      </c>
      <c r="F13" t="b">
        <f t="shared" si="2"/>
        <v>0</v>
      </c>
    </row>
    <row r="14" spans="1:6" x14ac:dyDescent="0.25">
      <c r="A14" s="3">
        <v>36526</v>
      </c>
      <c r="B14">
        <v>2.32146913134521E-2</v>
      </c>
      <c r="C14">
        <f t="shared" si="0"/>
        <v>2.5387337809195991E-2</v>
      </c>
      <c r="D14" t="b">
        <f t="shared" si="1"/>
        <v>1</v>
      </c>
      <c r="E14">
        <v>0</v>
      </c>
      <c r="F14" t="b">
        <f t="shared" si="2"/>
        <v>0</v>
      </c>
    </row>
    <row r="15" spans="1:6" x14ac:dyDescent="0.25">
      <c r="A15" s="3">
        <v>36557</v>
      </c>
      <c r="B15">
        <v>1.54128527193906E-2</v>
      </c>
      <c r="C15">
        <f t="shared" si="0"/>
        <v>-7.8018385940614998E-3</v>
      </c>
      <c r="D15" t="b">
        <f t="shared" si="1"/>
        <v>0</v>
      </c>
      <c r="E15">
        <v>0</v>
      </c>
      <c r="F15" t="b">
        <f t="shared" si="2"/>
        <v>0</v>
      </c>
    </row>
    <row r="16" spans="1:6" x14ac:dyDescent="0.25">
      <c r="A16" s="3">
        <v>36586</v>
      </c>
      <c r="B16">
        <v>1.2665401428125601E-2</v>
      </c>
      <c r="C16">
        <f t="shared" si="0"/>
        <v>-2.7474512912649997E-3</v>
      </c>
      <c r="D16" t="b">
        <f t="shared" si="1"/>
        <v>0</v>
      </c>
      <c r="E16">
        <v>0</v>
      </c>
      <c r="F16" t="b">
        <f t="shared" si="2"/>
        <v>0</v>
      </c>
    </row>
    <row r="17" spans="1:6" x14ac:dyDescent="0.25">
      <c r="A17" s="3">
        <v>36617</v>
      </c>
      <c r="B17">
        <v>1.31729035872068E-2</v>
      </c>
      <c r="C17">
        <f t="shared" si="0"/>
        <v>5.0750215908119956E-4</v>
      </c>
      <c r="D17" t="b">
        <f t="shared" si="1"/>
        <v>1</v>
      </c>
      <c r="E17">
        <v>0</v>
      </c>
      <c r="F17" t="b">
        <f t="shared" si="2"/>
        <v>0</v>
      </c>
    </row>
    <row r="18" spans="1:6" x14ac:dyDescent="0.25">
      <c r="A18" s="3">
        <v>36647</v>
      </c>
      <c r="B18">
        <v>1.9387293856912201E-2</v>
      </c>
      <c r="C18">
        <f t="shared" si="0"/>
        <v>6.2143902697054006E-3</v>
      </c>
      <c r="D18" t="b">
        <f t="shared" si="1"/>
        <v>1</v>
      </c>
      <c r="E18">
        <v>0</v>
      </c>
      <c r="F18" t="b">
        <f t="shared" si="2"/>
        <v>0</v>
      </c>
    </row>
    <row r="19" spans="1:6" x14ac:dyDescent="0.25">
      <c r="A19" s="3">
        <v>36678</v>
      </c>
      <c r="B19">
        <v>2.54437548850888E-2</v>
      </c>
      <c r="C19">
        <f t="shared" si="0"/>
        <v>6.056461028176599E-3</v>
      </c>
      <c r="D19" t="b">
        <f t="shared" si="1"/>
        <v>1</v>
      </c>
      <c r="E19">
        <v>0</v>
      </c>
      <c r="F19" t="b">
        <f t="shared" si="2"/>
        <v>0</v>
      </c>
    </row>
    <row r="20" spans="1:6" x14ac:dyDescent="0.25">
      <c r="A20" s="3">
        <v>36708</v>
      </c>
      <c r="B20">
        <v>2.9796649862565701E-2</v>
      </c>
      <c r="C20">
        <f t="shared" si="0"/>
        <v>4.352894977476901E-3</v>
      </c>
      <c r="D20" t="b">
        <f t="shared" si="1"/>
        <v>1</v>
      </c>
      <c r="E20">
        <v>0</v>
      </c>
      <c r="F20" t="b">
        <f t="shared" si="2"/>
        <v>0</v>
      </c>
    </row>
    <row r="21" spans="1:6" x14ac:dyDescent="0.25">
      <c r="A21" s="3">
        <v>36739</v>
      </c>
      <c r="B21">
        <v>2.3126531639644701E-2</v>
      </c>
      <c r="C21">
        <f t="shared" si="0"/>
        <v>-6.6701182229210003E-3</v>
      </c>
      <c r="D21" t="b">
        <f t="shared" si="1"/>
        <v>0</v>
      </c>
      <c r="E21">
        <v>0</v>
      </c>
      <c r="F21" t="b">
        <f t="shared" si="2"/>
        <v>0</v>
      </c>
    </row>
    <row r="22" spans="1:6" x14ac:dyDescent="0.25">
      <c r="A22" s="3">
        <v>36770</v>
      </c>
      <c r="B22">
        <v>2.1910052758913799E-2</v>
      </c>
      <c r="C22">
        <f t="shared" si="0"/>
        <v>-1.2164788807309014E-3</v>
      </c>
      <c r="D22" t="b">
        <f t="shared" si="1"/>
        <v>0</v>
      </c>
      <c r="E22">
        <v>0</v>
      </c>
      <c r="F22" t="b">
        <f t="shared" si="2"/>
        <v>0</v>
      </c>
    </row>
    <row r="23" spans="1:6" x14ac:dyDescent="0.25">
      <c r="A23" s="3">
        <v>36800</v>
      </c>
      <c r="B23">
        <v>2.19991828867299E-2</v>
      </c>
      <c r="C23">
        <f t="shared" si="0"/>
        <v>8.9130127816101218E-5</v>
      </c>
      <c r="D23" t="b">
        <f t="shared" si="1"/>
        <v>1</v>
      </c>
      <c r="E23">
        <v>0</v>
      </c>
      <c r="F23" t="b">
        <f t="shared" si="2"/>
        <v>0</v>
      </c>
    </row>
    <row r="24" spans="1:6" x14ac:dyDescent="0.25">
      <c r="A24" s="3">
        <v>36831</v>
      </c>
      <c r="B24">
        <v>1.7995215289344599E-2</v>
      </c>
      <c r="C24">
        <f t="shared" si="0"/>
        <v>-4.0039675973853016E-3</v>
      </c>
      <c r="D24" t="b">
        <f t="shared" si="1"/>
        <v>0</v>
      </c>
      <c r="E24">
        <v>0</v>
      </c>
      <c r="F24" t="b">
        <f t="shared" si="2"/>
        <v>0</v>
      </c>
    </row>
    <row r="25" spans="1:6" x14ac:dyDescent="0.25">
      <c r="A25" s="3">
        <v>36861</v>
      </c>
      <c r="B25">
        <v>8.0844760607474697E-3</v>
      </c>
      <c r="C25">
        <f t="shared" si="0"/>
        <v>-9.9107392285971291E-3</v>
      </c>
      <c r="D25" t="b">
        <f t="shared" si="1"/>
        <v>0</v>
      </c>
      <c r="E25">
        <v>0</v>
      </c>
      <c r="F25" t="b">
        <f t="shared" si="2"/>
        <v>0</v>
      </c>
    </row>
    <row r="26" spans="1:6" x14ac:dyDescent="0.25">
      <c r="A26" s="3">
        <v>36892</v>
      </c>
      <c r="B26">
        <v>1.66837136297113E-2</v>
      </c>
      <c r="C26">
        <f t="shared" si="0"/>
        <v>8.5992375689638301E-3</v>
      </c>
      <c r="D26" t="b">
        <f t="shared" si="1"/>
        <v>1</v>
      </c>
      <c r="E26">
        <v>0</v>
      </c>
      <c r="F26" t="b">
        <f t="shared" si="2"/>
        <v>0</v>
      </c>
    </row>
    <row r="27" spans="1:6" x14ac:dyDescent="0.25">
      <c r="A27" s="3">
        <v>36923</v>
      </c>
      <c r="B27">
        <v>7.94081240498112E-3</v>
      </c>
      <c r="C27">
        <f t="shared" si="0"/>
        <v>-8.7429012247301797E-3</v>
      </c>
      <c r="D27" t="b">
        <f t="shared" si="1"/>
        <v>0</v>
      </c>
      <c r="E27">
        <v>0</v>
      </c>
      <c r="F27" t="b">
        <f t="shared" si="2"/>
        <v>0</v>
      </c>
    </row>
    <row r="28" spans="1:6" x14ac:dyDescent="0.25">
      <c r="A28" s="3">
        <v>36951</v>
      </c>
      <c r="B28">
        <v>5.4226554201699502E-3</v>
      </c>
      <c r="C28">
        <f t="shared" si="0"/>
        <v>-2.5181569848111698E-3</v>
      </c>
      <c r="D28" t="b">
        <f t="shared" si="1"/>
        <v>0</v>
      </c>
      <c r="E28">
        <v>0</v>
      </c>
      <c r="F28" t="b">
        <f t="shared" si="2"/>
        <v>0</v>
      </c>
    </row>
    <row r="29" spans="1:6" x14ac:dyDescent="0.25">
      <c r="A29" s="3">
        <v>36982</v>
      </c>
      <c r="B29">
        <v>2.8057413016213699E-3</v>
      </c>
      <c r="C29">
        <f t="shared" si="0"/>
        <v>-2.6169141185485804E-3</v>
      </c>
      <c r="D29" t="b">
        <f t="shared" si="1"/>
        <v>0</v>
      </c>
      <c r="E29">
        <v>0</v>
      </c>
      <c r="F29" t="b">
        <f t="shared" si="2"/>
        <v>0</v>
      </c>
    </row>
    <row r="30" spans="1:6" x14ac:dyDescent="0.25">
      <c r="A30" s="3">
        <v>37012</v>
      </c>
      <c r="B30">
        <v>1.1262721393467999E-3</v>
      </c>
      <c r="C30">
        <f t="shared" si="0"/>
        <v>-1.6794691622745699E-3</v>
      </c>
      <c r="D30" t="b">
        <f t="shared" si="1"/>
        <v>0</v>
      </c>
      <c r="E30">
        <v>0</v>
      </c>
      <c r="F30" t="b">
        <f t="shared" si="2"/>
        <v>0</v>
      </c>
    </row>
    <row r="31" spans="1:6" x14ac:dyDescent="0.25">
      <c r="A31" s="3">
        <v>37043</v>
      </c>
      <c r="B31">
        <v>1.70393688693427E-3</v>
      </c>
      <c r="C31">
        <f t="shared" si="0"/>
        <v>5.776647475874701E-4</v>
      </c>
      <c r="D31" t="b">
        <f t="shared" si="1"/>
        <v>1</v>
      </c>
      <c r="E31">
        <v>0</v>
      </c>
      <c r="F31" t="b">
        <f t="shared" si="2"/>
        <v>0</v>
      </c>
    </row>
    <row r="32" spans="1:6" x14ac:dyDescent="0.25">
      <c r="A32" s="3">
        <v>37073</v>
      </c>
      <c r="B32">
        <v>-3.1850135425592901E-4</v>
      </c>
      <c r="C32">
        <f t="shared" si="0"/>
        <v>-2.022438241190199E-3</v>
      </c>
      <c r="D32" t="b">
        <f t="shared" si="1"/>
        <v>0</v>
      </c>
      <c r="E32">
        <v>0</v>
      </c>
      <c r="F32" t="b">
        <f t="shared" si="2"/>
        <v>0</v>
      </c>
    </row>
    <row r="33" spans="1:6" x14ac:dyDescent="0.25">
      <c r="A33" s="3">
        <v>37104</v>
      </c>
      <c r="B33">
        <v>4.62868134003092E-3</v>
      </c>
      <c r="C33">
        <f t="shared" si="0"/>
        <v>4.947182694286849E-3</v>
      </c>
      <c r="D33" t="b">
        <f t="shared" si="1"/>
        <v>1</v>
      </c>
      <c r="E33">
        <v>0</v>
      </c>
      <c r="F33" t="b">
        <f t="shared" si="2"/>
        <v>0</v>
      </c>
    </row>
    <row r="34" spans="1:6" x14ac:dyDescent="0.25">
      <c r="A34" s="3">
        <v>37135</v>
      </c>
      <c r="B34">
        <v>3.0713073880539502E-3</v>
      </c>
      <c r="C34">
        <f t="shared" si="0"/>
        <v>-1.5573739519769698E-3</v>
      </c>
      <c r="D34" t="b">
        <f t="shared" si="1"/>
        <v>0</v>
      </c>
      <c r="E34">
        <v>0</v>
      </c>
      <c r="F34" t="b">
        <f t="shared" si="2"/>
        <v>0</v>
      </c>
    </row>
    <row r="35" spans="1:6" x14ac:dyDescent="0.25">
      <c r="A35" s="3">
        <v>37165</v>
      </c>
      <c r="B35">
        <v>-8.5128188774037401E-3</v>
      </c>
      <c r="C35">
        <f t="shared" si="0"/>
        <v>-1.1584126265457691E-2</v>
      </c>
      <c r="D35" t="b">
        <f t="shared" si="1"/>
        <v>0</v>
      </c>
      <c r="E35">
        <v>0</v>
      </c>
      <c r="F35" t="b">
        <f t="shared" si="2"/>
        <v>0</v>
      </c>
    </row>
    <row r="36" spans="1:6" x14ac:dyDescent="0.25">
      <c r="A36" s="3">
        <v>37196</v>
      </c>
      <c r="B36">
        <v>-4.8453341914598304E-3</v>
      </c>
      <c r="C36">
        <f t="shared" si="0"/>
        <v>3.6674846859439097E-3</v>
      </c>
      <c r="D36" t="b">
        <f t="shared" si="1"/>
        <v>1</v>
      </c>
      <c r="E36">
        <v>0</v>
      </c>
      <c r="F36" t="b">
        <f t="shared" si="2"/>
        <v>0</v>
      </c>
    </row>
    <row r="37" spans="1:6" x14ac:dyDescent="0.25">
      <c r="A37" s="3">
        <v>37226</v>
      </c>
      <c r="B37">
        <v>-7.3591891553510501E-3</v>
      </c>
      <c r="C37">
        <f t="shared" si="0"/>
        <v>-2.5138549638912197E-3</v>
      </c>
      <c r="D37" t="b">
        <f t="shared" si="1"/>
        <v>0</v>
      </c>
      <c r="E37">
        <v>0</v>
      </c>
      <c r="F37" t="b">
        <f t="shared" si="2"/>
        <v>0</v>
      </c>
    </row>
    <row r="38" spans="1:6" x14ac:dyDescent="0.25">
      <c r="A38" s="3">
        <v>37257</v>
      </c>
      <c r="B38">
        <v>-1.9840795732442001E-2</v>
      </c>
      <c r="C38">
        <f t="shared" si="0"/>
        <v>-1.2481606577090951E-2</v>
      </c>
      <c r="D38" t="b">
        <f t="shared" si="1"/>
        <v>0</v>
      </c>
      <c r="E38">
        <v>0</v>
      </c>
      <c r="F38" t="b">
        <f t="shared" si="2"/>
        <v>0</v>
      </c>
    </row>
    <row r="39" spans="1:6" x14ac:dyDescent="0.25">
      <c r="A39" s="3">
        <v>37288</v>
      </c>
      <c r="B39">
        <v>-2.1244955151531499E-2</v>
      </c>
      <c r="C39">
        <f t="shared" si="0"/>
        <v>-1.4041594190894978E-3</v>
      </c>
      <c r="D39" t="b">
        <f t="shared" si="1"/>
        <v>0</v>
      </c>
      <c r="E39">
        <v>0</v>
      </c>
      <c r="F39" t="b">
        <f t="shared" si="2"/>
        <v>0</v>
      </c>
    </row>
    <row r="40" spans="1:6" x14ac:dyDescent="0.25">
      <c r="A40" s="3">
        <v>37316</v>
      </c>
      <c r="B40">
        <v>-1.32530189600795E-2</v>
      </c>
      <c r="C40">
        <f t="shared" si="0"/>
        <v>7.9919361914519982E-3</v>
      </c>
      <c r="D40" t="b">
        <f t="shared" si="1"/>
        <v>1</v>
      </c>
      <c r="E40">
        <v>0</v>
      </c>
      <c r="F40" t="b">
        <f t="shared" si="2"/>
        <v>0</v>
      </c>
    </row>
    <row r="41" spans="1:6" x14ac:dyDescent="0.25">
      <c r="A41" s="3">
        <v>37347</v>
      </c>
      <c r="B41">
        <v>-5.9179633201109604E-3</v>
      </c>
      <c r="C41">
        <f t="shared" si="0"/>
        <v>7.33505563996854E-3</v>
      </c>
      <c r="D41" t="b">
        <f t="shared" si="1"/>
        <v>1</v>
      </c>
      <c r="E41">
        <v>0</v>
      </c>
      <c r="F41" t="b">
        <f t="shared" si="2"/>
        <v>0</v>
      </c>
    </row>
    <row r="42" spans="1:6" x14ac:dyDescent="0.25">
      <c r="A42" s="3">
        <v>37377</v>
      </c>
      <c r="B42">
        <v>-5.7994110837986702E-3</v>
      </c>
      <c r="C42">
        <f t="shared" si="0"/>
        <v>1.1855223631229012E-4</v>
      </c>
      <c r="D42" t="b">
        <f t="shared" si="1"/>
        <v>1</v>
      </c>
      <c r="E42">
        <v>0</v>
      </c>
      <c r="F42" t="b">
        <f t="shared" si="2"/>
        <v>0</v>
      </c>
    </row>
    <row r="43" spans="1:6" x14ac:dyDescent="0.25">
      <c r="A43" s="3">
        <v>37408</v>
      </c>
      <c r="B43">
        <v>-7.1238181537580702E-3</v>
      </c>
      <c r="C43">
        <f t="shared" si="0"/>
        <v>-1.3244070699593999E-3</v>
      </c>
      <c r="D43" t="b">
        <f t="shared" si="1"/>
        <v>0</v>
      </c>
      <c r="E43">
        <v>0</v>
      </c>
      <c r="F43" t="b">
        <f t="shared" si="2"/>
        <v>0</v>
      </c>
    </row>
    <row r="44" spans="1:6" x14ac:dyDescent="0.25">
      <c r="A44" s="3">
        <v>37438</v>
      </c>
      <c r="B44">
        <v>-3.7918971317338901E-3</v>
      </c>
      <c r="C44">
        <f t="shared" si="0"/>
        <v>3.3319210220241801E-3</v>
      </c>
      <c r="D44" t="b">
        <f t="shared" si="1"/>
        <v>1</v>
      </c>
      <c r="E44">
        <v>0</v>
      </c>
      <c r="F44" t="b">
        <f t="shared" si="2"/>
        <v>0</v>
      </c>
    </row>
    <row r="45" spans="1:6" x14ac:dyDescent="0.25">
      <c r="A45" s="3">
        <v>37469</v>
      </c>
      <c r="B45">
        <v>3.6572397072607301E-3</v>
      </c>
      <c r="C45">
        <f t="shared" si="0"/>
        <v>7.4491368389946206E-3</v>
      </c>
      <c r="D45" t="b">
        <f t="shared" si="1"/>
        <v>1</v>
      </c>
      <c r="E45">
        <v>0</v>
      </c>
      <c r="F45" t="b">
        <f t="shared" si="2"/>
        <v>0</v>
      </c>
    </row>
    <row r="46" spans="1:6" x14ac:dyDescent="0.25">
      <c r="A46" s="3">
        <v>37500</v>
      </c>
      <c r="B46">
        <v>4.6231155810705398E-4</v>
      </c>
      <c r="C46">
        <f t="shared" si="0"/>
        <v>-3.194928149153676E-3</v>
      </c>
      <c r="D46" t="b">
        <f t="shared" si="1"/>
        <v>0</v>
      </c>
      <c r="E46">
        <v>0</v>
      </c>
      <c r="F46" t="b">
        <f t="shared" si="2"/>
        <v>0</v>
      </c>
    </row>
    <row r="47" spans="1:6" x14ac:dyDescent="0.25">
      <c r="A47" s="3">
        <v>37530</v>
      </c>
      <c r="B47">
        <v>4.4878607628948703E-3</v>
      </c>
      <c r="C47">
        <f t="shared" si="0"/>
        <v>4.0255492047878167E-3</v>
      </c>
      <c r="D47" t="b">
        <f t="shared" si="1"/>
        <v>1</v>
      </c>
      <c r="E47">
        <v>0</v>
      </c>
      <c r="F47" t="b">
        <f t="shared" si="2"/>
        <v>0</v>
      </c>
    </row>
    <row r="48" spans="1:6" x14ac:dyDescent="0.25">
      <c r="A48" s="3">
        <v>37561</v>
      </c>
      <c r="B48">
        <v>-2.4013841939556401E-3</v>
      </c>
      <c r="C48">
        <f t="shared" si="0"/>
        <v>-6.8892449568505104E-3</v>
      </c>
      <c r="D48" t="b">
        <f t="shared" si="1"/>
        <v>0</v>
      </c>
      <c r="E48">
        <v>0</v>
      </c>
      <c r="F48" t="b">
        <f t="shared" si="2"/>
        <v>0</v>
      </c>
    </row>
    <row r="49" spans="1:6" x14ac:dyDescent="0.25">
      <c r="A49" s="3">
        <v>37591</v>
      </c>
      <c r="B49">
        <v>-2.6755136150651299E-3</v>
      </c>
      <c r="C49">
        <f t="shared" si="0"/>
        <v>-2.7412942110948985E-4</v>
      </c>
      <c r="D49" t="b">
        <f t="shared" si="1"/>
        <v>0</v>
      </c>
      <c r="E49">
        <v>0</v>
      </c>
      <c r="F49" t="b">
        <f t="shared" si="2"/>
        <v>0</v>
      </c>
    </row>
    <row r="50" spans="1:6" x14ac:dyDescent="0.25">
      <c r="A50" s="3">
        <v>37622</v>
      </c>
      <c r="B50">
        <v>-4.3483642939037299E-3</v>
      </c>
      <c r="C50">
        <f t="shared" si="0"/>
        <v>-1.6728506788385999E-3</v>
      </c>
      <c r="D50" t="b">
        <f t="shared" si="1"/>
        <v>0</v>
      </c>
      <c r="E50">
        <v>0</v>
      </c>
      <c r="F50" t="b">
        <f t="shared" si="2"/>
        <v>0</v>
      </c>
    </row>
    <row r="51" spans="1:6" x14ac:dyDescent="0.25">
      <c r="A51" s="3">
        <v>37653</v>
      </c>
      <c r="B51">
        <v>5.7458484240324704E-4</v>
      </c>
      <c r="C51">
        <f t="shared" si="0"/>
        <v>4.9229491363069772E-3</v>
      </c>
      <c r="D51" t="b">
        <f t="shared" si="1"/>
        <v>1</v>
      </c>
      <c r="E51">
        <v>0</v>
      </c>
      <c r="F51" t="b">
        <f t="shared" si="2"/>
        <v>0</v>
      </c>
    </row>
    <row r="52" spans="1:6" x14ac:dyDescent="0.25">
      <c r="A52" s="3">
        <v>37681</v>
      </c>
      <c r="B52">
        <v>-7.9209415961099001E-3</v>
      </c>
      <c r="C52">
        <f t="shared" si="0"/>
        <v>-8.4955264385131474E-3</v>
      </c>
      <c r="D52" t="b">
        <f t="shared" si="1"/>
        <v>0</v>
      </c>
      <c r="E52">
        <v>0</v>
      </c>
      <c r="F52" t="b">
        <f t="shared" si="2"/>
        <v>0</v>
      </c>
    </row>
    <row r="53" spans="1:6" x14ac:dyDescent="0.25">
      <c r="A53" s="3">
        <v>37712</v>
      </c>
      <c r="B53">
        <v>-7.89125748497632E-3</v>
      </c>
      <c r="C53">
        <f t="shared" si="0"/>
        <v>2.9684111133580077E-5</v>
      </c>
      <c r="D53" t="b">
        <f t="shared" si="1"/>
        <v>1</v>
      </c>
      <c r="E53">
        <v>0</v>
      </c>
      <c r="F53" t="b">
        <f t="shared" si="2"/>
        <v>0</v>
      </c>
    </row>
    <row r="54" spans="1:6" x14ac:dyDescent="0.25">
      <c r="A54" s="3">
        <v>37742</v>
      </c>
      <c r="B54">
        <v>-1.21136713069969E-2</v>
      </c>
      <c r="C54">
        <f t="shared" si="0"/>
        <v>-4.2224138220205796E-3</v>
      </c>
      <c r="D54" t="b">
        <f t="shared" si="1"/>
        <v>0</v>
      </c>
      <c r="E54">
        <v>0</v>
      </c>
      <c r="F54" t="b">
        <f t="shared" si="2"/>
        <v>0</v>
      </c>
    </row>
    <row r="55" spans="1:6" x14ac:dyDescent="0.25">
      <c r="A55" s="3">
        <v>37773</v>
      </c>
      <c r="B55">
        <v>-5.2934379298443801E-3</v>
      </c>
      <c r="C55">
        <f t="shared" si="0"/>
        <v>6.8202333771525195E-3</v>
      </c>
      <c r="D55" t="b">
        <f t="shared" si="1"/>
        <v>1</v>
      </c>
      <c r="E55">
        <v>0</v>
      </c>
      <c r="F55" t="b">
        <f t="shared" si="2"/>
        <v>0</v>
      </c>
    </row>
    <row r="56" spans="1:6" x14ac:dyDescent="0.25">
      <c r="A56" s="3">
        <v>37803</v>
      </c>
      <c r="B56">
        <v>-6.4737656089386402E-3</v>
      </c>
      <c r="C56">
        <f t="shared" si="0"/>
        <v>-1.1803276790942601E-3</v>
      </c>
      <c r="D56" t="b">
        <f t="shared" si="1"/>
        <v>0</v>
      </c>
      <c r="E56">
        <v>0</v>
      </c>
      <c r="F56" t="b">
        <f t="shared" si="2"/>
        <v>0</v>
      </c>
    </row>
    <row r="57" spans="1:6" x14ac:dyDescent="0.25">
      <c r="A57" s="3">
        <v>37834</v>
      </c>
      <c r="B57">
        <v>-1.7346567158290901E-2</v>
      </c>
      <c r="C57">
        <f t="shared" si="0"/>
        <v>-1.0872801549352261E-2</v>
      </c>
      <c r="D57" t="b">
        <f t="shared" si="1"/>
        <v>0</v>
      </c>
      <c r="E57">
        <v>0</v>
      </c>
      <c r="F57" t="b">
        <f t="shared" si="2"/>
        <v>0</v>
      </c>
    </row>
    <row r="58" spans="1:6" x14ac:dyDescent="0.25">
      <c r="A58" s="3">
        <v>37865</v>
      </c>
      <c r="B58">
        <v>-1.5946555970646901E-2</v>
      </c>
      <c r="C58">
        <f t="shared" si="0"/>
        <v>1.4000111876440006E-3</v>
      </c>
      <c r="D58" t="b">
        <f t="shared" si="1"/>
        <v>1</v>
      </c>
      <c r="E58">
        <v>0</v>
      </c>
      <c r="F58" t="b">
        <f t="shared" si="2"/>
        <v>0</v>
      </c>
    </row>
    <row r="59" spans="1:6" x14ac:dyDescent="0.25">
      <c r="A59" s="3">
        <v>37895</v>
      </c>
      <c r="B59">
        <v>-1.37346829242047E-2</v>
      </c>
      <c r="C59">
        <f t="shared" si="0"/>
        <v>2.2118730464422004E-3</v>
      </c>
      <c r="D59" t="b">
        <f t="shared" si="1"/>
        <v>1</v>
      </c>
      <c r="E59">
        <v>0</v>
      </c>
      <c r="F59" t="b">
        <f t="shared" si="2"/>
        <v>0</v>
      </c>
    </row>
    <row r="60" spans="1:6" x14ac:dyDescent="0.25">
      <c r="A60" s="3">
        <v>37926</v>
      </c>
      <c r="B60">
        <v>-1.3716846358269299E-2</v>
      </c>
      <c r="C60">
        <f t="shared" si="0"/>
        <v>1.7836565935401213E-5</v>
      </c>
      <c r="D60" t="b">
        <f t="shared" si="1"/>
        <v>1</v>
      </c>
      <c r="E60">
        <v>0</v>
      </c>
      <c r="F60" t="b">
        <f t="shared" si="2"/>
        <v>0</v>
      </c>
    </row>
    <row r="61" spans="1:6" x14ac:dyDescent="0.25">
      <c r="A61" s="3">
        <v>37956</v>
      </c>
      <c r="B61">
        <v>-3.6222030332595501E-3</v>
      </c>
      <c r="C61">
        <f t="shared" si="0"/>
        <v>1.0094643325009749E-2</v>
      </c>
      <c r="D61" t="b">
        <f t="shared" si="1"/>
        <v>1</v>
      </c>
      <c r="E61">
        <v>0</v>
      </c>
      <c r="F61" t="b">
        <f t="shared" si="2"/>
        <v>0</v>
      </c>
    </row>
    <row r="62" spans="1:6" x14ac:dyDescent="0.25">
      <c r="A62" s="3">
        <v>37987</v>
      </c>
      <c r="B62">
        <v>-9.3662399691307697E-4</v>
      </c>
      <c r="C62">
        <f t="shared" si="0"/>
        <v>2.6855790363464731E-3</v>
      </c>
      <c r="D62" t="b">
        <f t="shared" si="1"/>
        <v>1</v>
      </c>
      <c r="E62">
        <v>0</v>
      </c>
      <c r="F62" t="b">
        <f t="shared" si="2"/>
        <v>0</v>
      </c>
    </row>
    <row r="63" spans="1:6" x14ac:dyDescent="0.25">
      <c r="A63" s="3">
        <v>38018</v>
      </c>
      <c r="B63" s="2">
        <v>-2.40500374175667E-5</v>
      </c>
      <c r="C63">
        <f t="shared" si="0"/>
        <v>9.1257395949551024E-4</v>
      </c>
      <c r="D63" t="b">
        <f t="shared" si="1"/>
        <v>1</v>
      </c>
      <c r="E63">
        <v>0</v>
      </c>
      <c r="F63" t="b">
        <f t="shared" si="2"/>
        <v>0</v>
      </c>
    </row>
    <row r="64" spans="1:6" x14ac:dyDescent="0.25">
      <c r="A64" s="3">
        <v>38047</v>
      </c>
      <c r="B64">
        <v>1.00569587571373E-2</v>
      </c>
      <c r="C64">
        <f t="shared" si="0"/>
        <v>1.0081008794554867E-2</v>
      </c>
      <c r="D64" t="b">
        <f t="shared" si="1"/>
        <v>1</v>
      </c>
      <c r="E64">
        <v>0</v>
      </c>
      <c r="F64" t="b">
        <f t="shared" si="2"/>
        <v>0</v>
      </c>
    </row>
    <row r="65" spans="1:6" x14ac:dyDescent="0.25">
      <c r="A65" s="3">
        <v>38078</v>
      </c>
      <c r="B65">
        <v>4.4371148372208697E-3</v>
      </c>
      <c r="C65">
        <f t="shared" si="0"/>
        <v>-5.6198439199164306E-3</v>
      </c>
      <c r="D65" t="b">
        <f t="shared" si="1"/>
        <v>0</v>
      </c>
      <c r="E65">
        <v>0</v>
      </c>
      <c r="F65" t="b">
        <f t="shared" si="2"/>
        <v>0</v>
      </c>
    </row>
    <row r="66" spans="1:6" x14ac:dyDescent="0.25">
      <c r="A66" s="3">
        <v>38108</v>
      </c>
      <c r="B66">
        <v>3.8394514082016299E-3</v>
      </c>
      <c r="C66">
        <f t="shared" si="0"/>
        <v>-5.9766342901923985E-4</v>
      </c>
      <c r="D66" t="b">
        <f t="shared" si="1"/>
        <v>0</v>
      </c>
      <c r="E66">
        <v>0</v>
      </c>
      <c r="F66" t="b">
        <f t="shared" si="2"/>
        <v>0</v>
      </c>
    </row>
    <row r="67" spans="1:6" x14ac:dyDescent="0.25">
      <c r="A67" s="3">
        <v>38139</v>
      </c>
      <c r="B67">
        <v>6.2116210435840804E-3</v>
      </c>
      <c r="C67">
        <f t="shared" si="0"/>
        <v>2.3721696353824506E-3</v>
      </c>
      <c r="D67" t="b">
        <f t="shared" si="1"/>
        <v>1</v>
      </c>
      <c r="E67">
        <v>0</v>
      </c>
      <c r="F67" t="b">
        <f t="shared" si="2"/>
        <v>0</v>
      </c>
    </row>
    <row r="68" spans="1:6" x14ac:dyDescent="0.25">
      <c r="A68" s="3">
        <v>38169</v>
      </c>
      <c r="B68">
        <v>-2.2077813836576302E-3</v>
      </c>
      <c r="C68">
        <f t="shared" ref="C68:C131" si="3">B68-B67</f>
        <v>-8.4194024272417102E-3</v>
      </c>
      <c r="D68" t="b">
        <f t="shared" ref="D68:D131" si="4">IF(C68&gt;0,TRUE)</f>
        <v>0</v>
      </c>
      <c r="E68">
        <v>0</v>
      </c>
      <c r="F68" t="b">
        <f t="shared" ref="F68:F131" si="5">IF(E68&gt;0, TRUE)</f>
        <v>0</v>
      </c>
    </row>
    <row r="69" spans="1:6" x14ac:dyDescent="0.25">
      <c r="A69" s="3">
        <v>38200</v>
      </c>
      <c r="B69">
        <v>-2.1386088848096602E-3</v>
      </c>
      <c r="C69">
        <f t="shared" si="3"/>
        <v>6.9172498847970033E-5</v>
      </c>
      <c r="D69" t="b">
        <f t="shared" si="4"/>
        <v>1</v>
      </c>
      <c r="E69">
        <v>0</v>
      </c>
      <c r="F69" t="b">
        <f t="shared" si="5"/>
        <v>0</v>
      </c>
    </row>
    <row r="70" spans="1:6" x14ac:dyDescent="0.25">
      <c r="A70" s="3">
        <v>38231</v>
      </c>
      <c r="B70">
        <v>-4.7608822580711401E-3</v>
      </c>
      <c r="C70">
        <f t="shared" si="3"/>
        <v>-2.6222733732614799E-3</v>
      </c>
      <c r="D70" t="b">
        <f t="shared" si="4"/>
        <v>0</v>
      </c>
      <c r="E70">
        <v>0</v>
      </c>
      <c r="F70" t="b">
        <f t="shared" si="5"/>
        <v>0</v>
      </c>
    </row>
    <row r="71" spans="1:6" x14ac:dyDescent="0.25">
      <c r="A71" s="3">
        <v>38261</v>
      </c>
      <c r="B71">
        <v>-4.2943577240626097E-3</v>
      </c>
      <c r="C71">
        <f t="shared" si="3"/>
        <v>4.6652453400853038E-4</v>
      </c>
      <c r="D71" t="b">
        <f t="shared" si="4"/>
        <v>1</v>
      </c>
      <c r="E71">
        <v>0</v>
      </c>
      <c r="F71" t="b">
        <f t="shared" si="5"/>
        <v>0</v>
      </c>
    </row>
    <row r="72" spans="1:6" x14ac:dyDescent="0.25">
      <c r="A72" s="3">
        <v>38292</v>
      </c>
      <c r="B72">
        <v>2.02750172439803E-3</v>
      </c>
      <c r="C72">
        <f t="shared" si="3"/>
        <v>6.3218594484606393E-3</v>
      </c>
      <c r="D72" t="b">
        <f t="shared" si="4"/>
        <v>1</v>
      </c>
      <c r="E72">
        <v>0</v>
      </c>
      <c r="F72" t="b">
        <f t="shared" si="5"/>
        <v>0</v>
      </c>
    </row>
    <row r="73" spans="1:6" x14ac:dyDescent="0.25">
      <c r="A73" s="3">
        <v>38322</v>
      </c>
      <c r="B73">
        <v>-1.4591129066010601E-3</v>
      </c>
      <c r="C73">
        <f t="shared" si="3"/>
        <v>-3.4866146309990901E-3</v>
      </c>
      <c r="D73" t="b">
        <f t="shared" si="4"/>
        <v>0</v>
      </c>
      <c r="E73">
        <v>0</v>
      </c>
      <c r="F73" t="b">
        <f t="shared" si="5"/>
        <v>0</v>
      </c>
    </row>
    <row r="74" spans="1:6" x14ac:dyDescent="0.25">
      <c r="A74" s="3">
        <v>38353</v>
      </c>
      <c r="B74">
        <v>-3.2420619621920102E-3</v>
      </c>
      <c r="C74">
        <f t="shared" si="3"/>
        <v>-1.7829490555909501E-3</v>
      </c>
      <c r="D74" t="b">
        <f t="shared" si="4"/>
        <v>0</v>
      </c>
      <c r="E74">
        <v>0</v>
      </c>
      <c r="F74" t="b">
        <f t="shared" si="5"/>
        <v>0</v>
      </c>
    </row>
    <row r="75" spans="1:6" x14ac:dyDescent="0.25">
      <c r="A75" s="3">
        <v>38384</v>
      </c>
      <c r="B75">
        <v>-4.1345956805036704E-3</v>
      </c>
      <c r="C75">
        <f t="shared" si="3"/>
        <v>-8.9253371831166019E-4</v>
      </c>
      <c r="D75" t="b">
        <f t="shared" si="4"/>
        <v>0</v>
      </c>
      <c r="E75">
        <v>0</v>
      </c>
      <c r="F75" t="b">
        <f t="shared" si="5"/>
        <v>0</v>
      </c>
    </row>
    <row r="76" spans="1:6" x14ac:dyDescent="0.25">
      <c r="A76" s="3">
        <v>38412</v>
      </c>
      <c r="B76">
        <v>-1.1203145834271001E-2</v>
      </c>
      <c r="C76">
        <f t="shared" si="3"/>
        <v>-7.0685501537673303E-3</v>
      </c>
      <c r="D76" t="b">
        <f t="shared" si="4"/>
        <v>0</v>
      </c>
      <c r="E76">
        <v>0</v>
      </c>
      <c r="F76" t="b">
        <f t="shared" si="5"/>
        <v>0</v>
      </c>
    </row>
    <row r="77" spans="1:6" x14ac:dyDescent="0.25">
      <c r="A77" s="3">
        <v>38443</v>
      </c>
      <c r="B77">
        <v>-8.7884339805084401E-3</v>
      </c>
      <c r="C77">
        <f t="shared" si="3"/>
        <v>2.4147118537625606E-3</v>
      </c>
      <c r="D77" t="b">
        <f t="shared" si="4"/>
        <v>1</v>
      </c>
      <c r="E77">
        <v>0</v>
      </c>
      <c r="F77" t="b">
        <f t="shared" si="5"/>
        <v>0</v>
      </c>
    </row>
    <row r="78" spans="1:6" x14ac:dyDescent="0.25">
      <c r="A78" s="3">
        <v>38473</v>
      </c>
      <c r="B78">
        <v>-9.1967578379437108E-3</v>
      </c>
      <c r="C78">
        <f t="shared" si="3"/>
        <v>-4.0832385743527072E-4</v>
      </c>
      <c r="D78" t="b">
        <f t="shared" si="4"/>
        <v>0</v>
      </c>
      <c r="E78">
        <v>0</v>
      </c>
      <c r="F78" t="b">
        <f t="shared" si="5"/>
        <v>0</v>
      </c>
    </row>
    <row r="79" spans="1:6" x14ac:dyDescent="0.25">
      <c r="A79" s="3">
        <v>38504</v>
      </c>
      <c r="B79">
        <v>-2.0400984972105199E-2</v>
      </c>
      <c r="C79">
        <f t="shared" si="3"/>
        <v>-1.1204227134161488E-2</v>
      </c>
      <c r="D79" t="b">
        <f t="shared" si="4"/>
        <v>0</v>
      </c>
      <c r="E79">
        <v>0</v>
      </c>
      <c r="F79" t="b">
        <f t="shared" si="5"/>
        <v>0</v>
      </c>
    </row>
    <row r="80" spans="1:6" x14ac:dyDescent="0.25">
      <c r="A80" s="3">
        <v>38534</v>
      </c>
      <c r="B80">
        <v>-1.9892341651860199E-2</v>
      </c>
      <c r="C80">
        <f t="shared" si="3"/>
        <v>5.0864332024500025E-4</v>
      </c>
      <c r="D80" t="b">
        <f t="shared" si="4"/>
        <v>1</v>
      </c>
      <c r="E80">
        <v>0</v>
      </c>
      <c r="F80" t="b">
        <f t="shared" si="5"/>
        <v>0</v>
      </c>
    </row>
    <row r="81" spans="1:6" x14ac:dyDescent="0.25">
      <c r="A81" s="3">
        <v>38565</v>
      </c>
      <c r="B81">
        <v>-9.6609813968910902E-3</v>
      </c>
      <c r="C81">
        <f t="shared" si="3"/>
        <v>1.0231360254969108E-2</v>
      </c>
      <c r="D81" t="b">
        <f t="shared" si="4"/>
        <v>1</v>
      </c>
      <c r="E81">
        <v>0</v>
      </c>
      <c r="F81" t="b">
        <f t="shared" si="5"/>
        <v>0</v>
      </c>
    </row>
    <row r="82" spans="1:6" x14ac:dyDescent="0.25">
      <c r="A82" s="3">
        <v>38596</v>
      </c>
      <c r="B82">
        <v>-7.1400270461072796E-3</v>
      </c>
      <c r="C82">
        <f t="shared" si="3"/>
        <v>2.5209543507838106E-3</v>
      </c>
      <c r="D82" t="b">
        <f t="shared" si="4"/>
        <v>1</v>
      </c>
      <c r="E82">
        <v>0</v>
      </c>
      <c r="F82" t="b">
        <f t="shared" si="5"/>
        <v>0</v>
      </c>
    </row>
    <row r="83" spans="1:6" x14ac:dyDescent="0.25">
      <c r="A83" s="3">
        <v>38626</v>
      </c>
      <c r="B83">
        <v>-7.03509265819413E-3</v>
      </c>
      <c r="C83">
        <f t="shared" si="3"/>
        <v>1.0493438791314962E-4</v>
      </c>
      <c r="D83" t="b">
        <f t="shared" si="4"/>
        <v>1</v>
      </c>
      <c r="E83">
        <v>0</v>
      </c>
      <c r="F83" t="b">
        <f t="shared" si="5"/>
        <v>0</v>
      </c>
    </row>
    <row r="84" spans="1:6" x14ac:dyDescent="0.25">
      <c r="A84" s="3">
        <v>38657</v>
      </c>
      <c r="B84">
        <v>-6.7064852931686403E-4</v>
      </c>
      <c r="C84">
        <f t="shared" si="3"/>
        <v>6.364444128877266E-3</v>
      </c>
      <c r="D84" t="b">
        <f t="shared" si="4"/>
        <v>1</v>
      </c>
      <c r="E84">
        <v>0</v>
      </c>
      <c r="F84" t="b">
        <f t="shared" si="5"/>
        <v>0</v>
      </c>
    </row>
    <row r="85" spans="1:6" x14ac:dyDescent="0.25">
      <c r="A85" s="3">
        <v>38687</v>
      </c>
      <c r="B85">
        <v>2.8007156797231801E-3</v>
      </c>
      <c r="C85">
        <f t="shared" si="3"/>
        <v>3.4713642090400442E-3</v>
      </c>
      <c r="D85" t="b">
        <f t="shared" si="4"/>
        <v>1</v>
      </c>
      <c r="E85">
        <v>0</v>
      </c>
      <c r="F85" t="b">
        <f t="shared" si="5"/>
        <v>0</v>
      </c>
    </row>
    <row r="86" spans="1:6" x14ac:dyDescent="0.25">
      <c r="A86" s="3">
        <v>38718</v>
      </c>
      <c r="B86">
        <v>1.8610018765165201E-2</v>
      </c>
      <c r="C86">
        <f t="shared" si="3"/>
        <v>1.5809303085442022E-2</v>
      </c>
      <c r="D86" t="b">
        <f t="shared" si="4"/>
        <v>1</v>
      </c>
      <c r="E86">
        <v>0</v>
      </c>
      <c r="F86" t="b">
        <f t="shared" si="5"/>
        <v>0</v>
      </c>
    </row>
    <row r="87" spans="1:6" x14ac:dyDescent="0.25">
      <c r="A87" s="3">
        <v>38749</v>
      </c>
      <c r="B87">
        <v>5.5133494439481004E-3</v>
      </c>
      <c r="C87">
        <f t="shared" si="3"/>
        <v>-1.30966693212171E-2</v>
      </c>
      <c r="D87" t="b">
        <f t="shared" si="4"/>
        <v>0</v>
      </c>
      <c r="E87">
        <v>0</v>
      </c>
      <c r="F87" t="b">
        <f t="shared" si="5"/>
        <v>0</v>
      </c>
    </row>
    <row r="88" spans="1:6" x14ac:dyDescent="0.25">
      <c r="A88" s="3">
        <v>38777</v>
      </c>
      <c r="B88">
        <v>4.04039959403502E-3</v>
      </c>
      <c r="C88">
        <f t="shared" si="3"/>
        <v>-1.4729498499130803E-3</v>
      </c>
      <c r="D88" t="b">
        <f t="shared" si="4"/>
        <v>0</v>
      </c>
      <c r="E88">
        <v>0</v>
      </c>
      <c r="F88" t="b">
        <f t="shared" si="5"/>
        <v>0</v>
      </c>
    </row>
    <row r="89" spans="1:6" x14ac:dyDescent="0.25">
      <c r="A89" s="3">
        <v>38808</v>
      </c>
      <c r="B89">
        <v>7.0577993473310797E-3</v>
      </c>
      <c r="C89">
        <f t="shared" si="3"/>
        <v>3.0173997532960597E-3</v>
      </c>
      <c r="D89" t="b">
        <f t="shared" si="4"/>
        <v>1</v>
      </c>
      <c r="E89">
        <v>0</v>
      </c>
      <c r="F89" t="b">
        <f t="shared" si="5"/>
        <v>0</v>
      </c>
    </row>
    <row r="90" spans="1:6" x14ac:dyDescent="0.25">
      <c r="A90" s="3">
        <v>38838</v>
      </c>
      <c r="B90">
        <v>1.49470005721639E-2</v>
      </c>
      <c r="C90">
        <f t="shared" si="3"/>
        <v>7.889201224832821E-3</v>
      </c>
      <c r="D90" t="b">
        <f t="shared" si="4"/>
        <v>1</v>
      </c>
      <c r="E90">
        <v>0</v>
      </c>
      <c r="F90" t="b">
        <f t="shared" si="5"/>
        <v>0</v>
      </c>
    </row>
    <row r="91" spans="1:6" x14ac:dyDescent="0.25">
      <c r="A91" s="3">
        <v>38869</v>
      </c>
      <c r="B91">
        <v>1.12534576980874E-2</v>
      </c>
      <c r="C91">
        <f t="shared" si="3"/>
        <v>-3.6935428740764997E-3</v>
      </c>
      <c r="D91" t="b">
        <f t="shared" si="4"/>
        <v>0</v>
      </c>
      <c r="E91">
        <v>0</v>
      </c>
      <c r="F91" t="b">
        <f t="shared" si="5"/>
        <v>0</v>
      </c>
    </row>
    <row r="92" spans="1:6" x14ac:dyDescent="0.25">
      <c r="A92" s="3">
        <v>38899</v>
      </c>
      <c r="B92">
        <v>8.6565561979936607E-3</v>
      </c>
      <c r="C92">
        <f t="shared" si="3"/>
        <v>-2.5969015000937394E-3</v>
      </c>
      <c r="D92" t="b">
        <f t="shared" si="4"/>
        <v>0</v>
      </c>
      <c r="E92">
        <v>0</v>
      </c>
      <c r="F92" t="b">
        <f t="shared" si="5"/>
        <v>0</v>
      </c>
    </row>
    <row r="93" spans="1:6" x14ac:dyDescent="0.25">
      <c r="A93" s="3">
        <v>38930</v>
      </c>
      <c r="B93">
        <v>9.1767538507641095E-3</v>
      </c>
      <c r="C93">
        <f t="shared" si="3"/>
        <v>5.2019765277044883E-4</v>
      </c>
      <c r="D93" t="b">
        <f t="shared" si="4"/>
        <v>1</v>
      </c>
      <c r="E93">
        <v>0</v>
      </c>
      <c r="F93" t="b">
        <f t="shared" si="5"/>
        <v>0</v>
      </c>
    </row>
    <row r="94" spans="1:6" x14ac:dyDescent="0.25">
      <c r="A94" s="3">
        <v>38961</v>
      </c>
      <c r="B94">
        <v>6.90144927848735E-3</v>
      </c>
      <c r="C94">
        <f t="shared" si="3"/>
        <v>-2.2753045722767595E-3</v>
      </c>
      <c r="D94" t="b">
        <f t="shared" si="4"/>
        <v>0</v>
      </c>
      <c r="E94">
        <v>0</v>
      </c>
      <c r="F94" t="b">
        <f t="shared" si="5"/>
        <v>0</v>
      </c>
    </row>
    <row r="95" spans="1:6" x14ac:dyDescent="0.25">
      <c r="A95" s="3">
        <v>38991</v>
      </c>
      <c r="B95">
        <v>7.9599436152859599E-3</v>
      </c>
      <c r="C95">
        <f t="shared" si="3"/>
        <v>1.0584943367986099E-3</v>
      </c>
      <c r="D95" t="b">
        <f t="shared" si="4"/>
        <v>1</v>
      </c>
      <c r="E95">
        <v>0</v>
      </c>
      <c r="F95" t="b">
        <f t="shared" si="5"/>
        <v>0</v>
      </c>
    </row>
    <row r="96" spans="1:6" x14ac:dyDescent="0.25">
      <c r="A96" s="3">
        <v>39022</v>
      </c>
      <c r="B96">
        <v>3.01967326509356E-3</v>
      </c>
      <c r="C96">
        <f t="shared" si="3"/>
        <v>-4.9402703501923995E-3</v>
      </c>
      <c r="D96" t="b">
        <f t="shared" si="4"/>
        <v>0</v>
      </c>
      <c r="E96">
        <v>0</v>
      </c>
      <c r="F96" t="b">
        <f t="shared" si="5"/>
        <v>0</v>
      </c>
    </row>
    <row r="97" spans="1:6" x14ac:dyDescent="0.25">
      <c r="A97" s="3">
        <v>39052</v>
      </c>
      <c r="B97">
        <v>6.0731185355793497E-3</v>
      </c>
      <c r="C97">
        <f t="shared" si="3"/>
        <v>3.0534452704857897E-3</v>
      </c>
      <c r="D97" t="b">
        <f t="shared" si="4"/>
        <v>1</v>
      </c>
      <c r="E97">
        <v>0</v>
      </c>
      <c r="F97" t="b">
        <f t="shared" si="5"/>
        <v>0</v>
      </c>
    </row>
    <row r="98" spans="1:6" x14ac:dyDescent="0.25">
      <c r="A98" s="3">
        <v>39083</v>
      </c>
      <c r="B98">
        <v>5.5533638796694297E-3</v>
      </c>
      <c r="C98">
        <f t="shared" si="3"/>
        <v>-5.1975465590992E-4</v>
      </c>
      <c r="D98" t="b">
        <f t="shared" si="4"/>
        <v>0</v>
      </c>
      <c r="E98">
        <v>0</v>
      </c>
      <c r="F98" t="b">
        <f t="shared" si="5"/>
        <v>0</v>
      </c>
    </row>
    <row r="99" spans="1:6" x14ac:dyDescent="0.25">
      <c r="A99" s="3">
        <v>39114</v>
      </c>
      <c r="B99">
        <v>4.9364335869261904E-3</v>
      </c>
      <c r="C99">
        <f t="shared" si="3"/>
        <v>-6.1693029274323928E-4</v>
      </c>
      <c r="D99" t="b">
        <f t="shared" si="4"/>
        <v>0</v>
      </c>
      <c r="E99">
        <v>0</v>
      </c>
      <c r="F99" t="b">
        <f t="shared" si="5"/>
        <v>0</v>
      </c>
    </row>
    <row r="100" spans="1:6" x14ac:dyDescent="0.25">
      <c r="A100" s="3">
        <v>39142</v>
      </c>
      <c r="B100">
        <v>9.4629547437206103E-3</v>
      </c>
      <c r="C100">
        <f t="shared" si="3"/>
        <v>4.5265211567944198E-3</v>
      </c>
      <c r="D100" t="b">
        <f t="shared" si="4"/>
        <v>1</v>
      </c>
      <c r="E100">
        <v>0</v>
      </c>
      <c r="F100" t="b">
        <f t="shared" si="5"/>
        <v>0</v>
      </c>
    </row>
    <row r="101" spans="1:6" x14ac:dyDescent="0.25">
      <c r="A101" s="3">
        <v>39173</v>
      </c>
      <c r="B101">
        <v>1.30123221976612E-2</v>
      </c>
      <c r="C101">
        <f t="shared" si="3"/>
        <v>3.5493674539405894E-3</v>
      </c>
      <c r="D101" t="b">
        <f t="shared" si="4"/>
        <v>1</v>
      </c>
      <c r="E101">
        <v>0</v>
      </c>
      <c r="F101" t="b">
        <f t="shared" si="5"/>
        <v>0</v>
      </c>
    </row>
    <row r="102" spans="1:6" x14ac:dyDescent="0.25">
      <c r="A102" s="3">
        <v>39203</v>
      </c>
      <c r="B102">
        <v>1.43276022724486E-2</v>
      </c>
      <c r="C102">
        <f t="shared" si="3"/>
        <v>1.3152800747874005E-3</v>
      </c>
      <c r="D102" t="b">
        <f t="shared" si="4"/>
        <v>1</v>
      </c>
      <c r="E102">
        <v>0</v>
      </c>
      <c r="F102" t="b">
        <f t="shared" si="5"/>
        <v>0</v>
      </c>
    </row>
    <row r="103" spans="1:6" x14ac:dyDescent="0.25">
      <c r="A103" s="3">
        <v>39234</v>
      </c>
      <c r="B103">
        <v>1.7789273787670399E-2</v>
      </c>
      <c r="C103">
        <f t="shared" si="3"/>
        <v>3.4616715152217988E-3</v>
      </c>
      <c r="D103" t="b">
        <f t="shared" si="4"/>
        <v>1</v>
      </c>
      <c r="E103">
        <v>0</v>
      </c>
      <c r="F103" t="b">
        <f t="shared" si="5"/>
        <v>0</v>
      </c>
    </row>
    <row r="104" spans="1:6" x14ac:dyDescent="0.25">
      <c r="A104" s="3">
        <v>39264</v>
      </c>
      <c r="B104">
        <v>1.55003713284287E-2</v>
      </c>
      <c r="C104">
        <f t="shared" si="3"/>
        <v>-2.2889024592416991E-3</v>
      </c>
      <c r="D104" t="b">
        <f t="shared" si="4"/>
        <v>0</v>
      </c>
      <c r="E104">
        <v>0</v>
      </c>
      <c r="F104" t="b">
        <f t="shared" si="5"/>
        <v>0</v>
      </c>
    </row>
    <row r="105" spans="1:6" x14ac:dyDescent="0.25">
      <c r="A105" s="3">
        <v>39295</v>
      </c>
      <c r="B105">
        <v>1.7381886558188099E-2</v>
      </c>
      <c r="C105">
        <f t="shared" si="3"/>
        <v>1.8815152297593993E-3</v>
      </c>
      <c r="D105" t="b">
        <f t="shared" si="4"/>
        <v>1</v>
      </c>
      <c r="E105">
        <v>0</v>
      </c>
      <c r="F105" t="b">
        <f t="shared" si="5"/>
        <v>0</v>
      </c>
    </row>
    <row r="106" spans="1:6" x14ac:dyDescent="0.25">
      <c r="A106" s="3">
        <v>39326</v>
      </c>
      <c r="B106">
        <v>1.9136396908154801E-2</v>
      </c>
      <c r="C106">
        <f t="shared" si="3"/>
        <v>1.7545103499667022E-3</v>
      </c>
      <c r="D106" t="b">
        <f t="shared" si="4"/>
        <v>1</v>
      </c>
      <c r="E106">
        <v>0</v>
      </c>
      <c r="F106" t="b">
        <f t="shared" si="5"/>
        <v>0</v>
      </c>
    </row>
    <row r="107" spans="1:6" x14ac:dyDescent="0.25">
      <c r="A107" s="3">
        <v>39356</v>
      </c>
      <c r="B107">
        <v>1.7516520399447601E-2</v>
      </c>
      <c r="C107">
        <f t="shared" si="3"/>
        <v>-1.6198765087072006E-3</v>
      </c>
      <c r="D107" t="b">
        <f t="shared" si="4"/>
        <v>0</v>
      </c>
      <c r="E107">
        <v>0</v>
      </c>
      <c r="F107" t="b">
        <f t="shared" si="5"/>
        <v>0</v>
      </c>
    </row>
    <row r="108" spans="1:6" x14ac:dyDescent="0.25">
      <c r="A108" s="3">
        <v>39387</v>
      </c>
      <c r="B108">
        <v>1.3677274034608699E-2</v>
      </c>
      <c r="C108">
        <f t="shared" si="3"/>
        <v>-3.8392463648389014E-3</v>
      </c>
      <c r="D108" t="b">
        <f t="shared" si="4"/>
        <v>0</v>
      </c>
      <c r="E108">
        <v>0</v>
      </c>
      <c r="F108" t="b">
        <f t="shared" si="5"/>
        <v>0</v>
      </c>
    </row>
    <row r="109" spans="1:6" x14ac:dyDescent="0.25">
      <c r="A109" s="3">
        <v>39417</v>
      </c>
      <c r="B109">
        <v>1.4278070815030301E-2</v>
      </c>
      <c r="C109">
        <f t="shared" si="3"/>
        <v>6.0079678042160127E-4</v>
      </c>
      <c r="D109" t="b">
        <f t="shared" si="4"/>
        <v>1</v>
      </c>
      <c r="E109" t="s">
        <v>18</v>
      </c>
      <c r="F109" t="b">
        <f t="shared" si="5"/>
        <v>1</v>
      </c>
    </row>
    <row r="110" spans="1:6" x14ac:dyDescent="0.25">
      <c r="A110" s="3">
        <v>39448</v>
      </c>
      <c r="B110">
        <v>2.03662107670937E-2</v>
      </c>
      <c r="C110">
        <f t="shared" si="3"/>
        <v>6.0881399520633997E-3</v>
      </c>
      <c r="D110" t="b">
        <f t="shared" si="4"/>
        <v>1</v>
      </c>
      <c r="E110">
        <v>0</v>
      </c>
      <c r="F110" t="b">
        <f t="shared" si="5"/>
        <v>0</v>
      </c>
    </row>
    <row r="111" spans="1:6" x14ac:dyDescent="0.25">
      <c r="A111" s="3">
        <v>39479</v>
      </c>
      <c r="B111">
        <v>2.2091995203194999E-2</v>
      </c>
      <c r="C111">
        <f t="shared" si="3"/>
        <v>1.7257844361012985E-3</v>
      </c>
      <c r="D111" t="b">
        <f t="shared" si="4"/>
        <v>1</v>
      </c>
      <c r="E111">
        <v>0</v>
      </c>
      <c r="F111" t="b">
        <f t="shared" si="5"/>
        <v>0</v>
      </c>
    </row>
    <row r="112" spans="1:6" x14ac:dyDescent="0.25">
      <c r="A112" s="3">
        <v>39508</v>
      </c>
      <c r="B112">
        <v>8.6197888557668599E-3</v>
      </c>
      <c r="C112">
        <f t="shared" si="3"/>
        <v>-1.3472206347428139E-2</v>
      </c>
      <c r="D112" t="b">
        <f t="shared" si="4"/>
        <v>0</v>
      </c>
      <c r="E112">
        <v>0</v>
      </c>
      <c r="F112" t="b">
        <f t="shared" si="5"/>
        <v>0</v>
      </c>
    </row>
    <row r="113" spans="1:6" x14ac:dyDescent="0.25">
      <c r="A113" s="3">
        <v>39539</v>
      </c>
      <c r="B113">
        <v>2.8213701902521E-2</v>
      </c>
      <c r="C113">
        <f t="shared" si="3"/>
        <v>1.959391304675414E-2</v>
      </c>
      <c r="D113" t="b">
        <f t="shared" si="4"/>
        <v>1</v>
      </c>
      <c r="E113">
        <v>0</v>
      </c>
      <c r="F113" t="b">
        <f t="shared" si="5"/>
        <v>0</v>
      </c>
    </row>
    <row r="114" spans="1:6" x14ac:dyDescent="0.25">
      <c r="A114" s="3">
        <v>39569</v>
      </c>
      <c r="B114">
        <v>2.3537399815105602E-2</v>
      </c>
      <c r="C114">
        <f t="shared" si="3"/>
        <v>-4.6763020874153981E-3</v>
      </c>
      <c r="D114" t="b">
        <f t="shared" si="4"/>
        <v>0</v>
      </c>
      <c r="E114">
        <v>0</v>
      </c>
      <c r="F114" t="b">
        <f t="shared" si="5"/>
        <v>0</v>
      </c>
    </row>
    <row r="115" spans="1:6" x14ac:dyDescent="0.25">
      <c r="A115" s="3">
        <v>39600</v>
      </c>
      <c r="B115">
        <v>3.2146922794934703E-2</v>
      </c>
      <c r="C115">
        <f t="shared" si="3"/>
        <v>8.6095229798291012E-3</v>
      </c>
      <c r="D115" t="b">
        <f t="shared" si="4"/>
        <v>1</v>
      </c>
      <c r="E115">
        <v>0</v>
      </c>
      <c r="F115" t="b">
        <f t="shared" si="5"/>
        <v>0</v>
      </c>
    </row>
    <row r="116" spans="1:6" x14ac:dyDescent="0.25">
      <c r="A116" s="3">
        <v>39630</v>
      </c>
      <c r="B116">
        <v>3.2068471584567597E-2</v>
      </c>
      <c r="C116">
        <f t="shared" si="3"/>
        <v>-7.8451210367105895E-5</v>
      </c>
      <c r="D116" t="b">
        <f t="shared" si="4"/>
        <v>0</v>
      </c>
      <c r="E116">
        <v>0.14130434782608692</v>
      </c>
      <c r="F116" t="b">
        <f t="shared" si="5"/>
        <v>1</v>
      </c>
    </row>
    <row r="117" spans="1:6" x14ac:dyDescent="0.25">
      <c r="A117" s="3">
        <v>39661</v>
      </c>
      <c r="B117">
        <v>2.19531085879314E-2</v>
      </c>
      <c r="C117">
        <f t="shared" si="3"/>
        <v>-1.0115362996636196E-2</v>
      </c>
      <c r="D117" t="b">
        <f t="shared" si="4"/>
        <v>0</v>
      </c>
      <c r="E117">
        <v>0</v>
      </c>
      <c r="F117" t="b">
        <f t="shared" si="5"/>
        <v>0</v>
      </c>
    </row>
    <row r="118" spans="1:6" x14ac:dyDescent="0.25">
      <c r="A118" s="3">
        <v>39692</v>
      </c>
      <c r="B118">
        <v>1.97663054941133E-2</v>
      </c>
      <c r="C118">
        <f t="shared" si="3"/>
        <v>-2.1868030938181002E-3</v>
      </c>
      <c r="D118" t="b">
        <f t="shared" si="4"/>
        <v>0</v>
      </c>
      <c r="E118">
        <v>0</v>
      </c>
      <c r="F118" t="b">
        <f t="shared" si="5"/>
        <v>0</v>
      </c>
    </row>
    <row r="119" spans="1:6" x14ac:dyDescent="0.25">
      <c r="A119" s="3">
        <v>39722</v>
      </c>
      <c r="B119">
        <v>2.15241990076196E-2</v>
      </c>
      <c r="C119">
        <f t="shared" si="3"/>
        <v>1.7578935135062999E-3</v>
      </c>
      <c r="D119" t="b">
        <f t="shared" si="4"/>
        <v>1</v>
      </c>
      <c r="E119">
        <v>0</v>
      </c>
      <c r="F119" t="b">
        <f t="shared" si="5"/>
        <v>0</v>
      </c>
    </row>
    <row r="120" spans="1:6" x14ac:dyDescent="0.25">
      <c r="A120" s="3">
        <v>39753</v>
      </c>
      <c r="B120">
        <v>8.5905087496600495E-3</v>
      </c>
      <c r="C120">
        <f t="shared" si="3"/>
        <v>-1.2933690257959551E-2</v>
      </c>
      <c r="D120" t="b">
        <f t="shared" si="4"/>
        <v>0</v>
      </c>
      <c r="E120">
        <v>0</v>
      </c>
      <c r="F120" t="b">
        <f t="shared" si="5"/>
        <v>0</v>
      </c>
    </row>
    <row r="121" spans="1:6" x14ac:dyDescent="0.25">
      <c r="A121" s="3">
        <v>39783</v>
      </c>
      <c r="B121">
        <v>-2.0338878351911002E-3</v>
      </c>
      <c r="C121">
        <f t="shared" si="3"/>
        <v>-1.062439658485115E-2</v>
      </c>
      <c r="D121" t="b">
        <f t="shared" si="4"/>
        <v>0</v>
      </c>
      <c r="E121">
        <v>0</v>
      </c>
      <c r="F121" t="b">
        <f t="shared" si="5"/>
        <v>0</v>
      </c>
    </row>
    <row r="122" spans="1:6" x14ac:dyDescent="0.25">
      <c r="A122" s="3">
        <v>39814</v>
      </c>
      <c r="B122">
        <v>-4.5951818536934801E-2</v>
      </c>
      <c r="C122">
        <f t="shared" si="3"/>
        <v>-4.3917930701743699E-2</v>
      </c>
      <c r="D122" t="b">
        <f t="shared" si="4"/>
        <v>0</v>
      </c>
      <c r="E122">
        <v>0</v>
      </c>
      <c r="F122" t="b">
        <f t="shared" si="5"/>
        <v>0</v>
      </c>
    </row>
    <row r="123" spans="1:6" x14ac:dyDescent="0.25">
      <c r="A123" s="3">
        <v>39845</v>
      </c>
      <c r="B123">
        <v>-4.9359385993269299E-2</v>
      </c>
      <c r="C123">
        <f t="shared" si="3"/>
        <v>-3.4075674563344982E-3</v>
      </c>
      <c r="D123" t="b">
        <f t="shared" si="4"/>
        <v>0</v>
      </c>
      <c r="E123">
        <v>7.8947368421053099E-2</v>
      </c>
      <c r="F123" t="b">
        <f t="shared" si="5"/>
        <v>1</v>
      </c>
    </row>
    <row r="124" spans="1:6" x14ac:dyDescent="0.25">
      <c r="A124" s="3">
        <v>39873</v>
      </c>
      <c r="B124">
        <v>-5.14648744732744E-2</v>
      </c>
      <c r="C124">
        <f t="shared" si="3"/>
        <v>-2.1054884800051007E-3</v>
      </c>
      <c r="D124" t="b">
        <f t="shared" si="4"/>
        <v>0</v>
      </c>
      <c r="E124">
        <v>-3.5714285714285587E-2</v>
      </c>
      <c r="F124" t="b">
        <f t="shared" si="5"/>
        <v>0</v>
      </c>
    </row>
    <row r="125" spans="1:6" x14ac:dyDescent="0.25">
      <c r="A125" s="3">
        <v>39904</v>
      </c>
      <c r="B125">
        <v>-6.00027450809364E-2</v>
      </c>
      <c r="C125">
        <f t="shared" si="3"/>
        <v>-8.5378706076620001E-3</v>
      </c>
      <c r="D125" t="b">
        <f t="shared" si="4"/>
        <v>0</v>
      </c>
      <c r="E125">
        <v>-0.375</v>
      </c>
      <c r="F125" t="b">
        <f t="shared" si="5"/>
        <v>0</v>
      </c>
    </row>
    <row r="126" spans="1:6" x14ac:dyDescent="0.25">
      <c r="A126" s="3">
        <v>39934</v>
      </c>
      <c r="B126">
        <v>-6.4649886288856706E-2</v>
      </c>
      <c r="C126">
        <f t="shared" si="3"/>
        <v>-4.6471412079203064E-3</v>
      </c>
      <c r="D126" t="b">
        <f t="shared" si="4"/>
        <v>0</v>
      </c>
      <c r="E126">
        <v>-0.11249999999999982</v>
      </c>
      <c r="F126" t="b">
        <f t="shared" si="5"/>
        <v>0</v>
      </c>
    </row>
    <row r="127" spans="1:6" x14ac:dyDescent="0.25">
      <c r="A127" s="3">
        <v>39965</v>
      </c>
      <c r="B127">
        <v>-4.9044085699928401E-2</v>
      </c>
      <c r="C127">
        <f t="shared" si="3"/>
        <v>1.5605800588928305E-2</v>
      </c>
      <c r="D127" t="b">
        <f t="shared" si="4"/>
        <v>1</v>
      </c>
      <c r="E127">
        <v>0</v>
      </c>
      <c r="F127" t="b">
        <f t="shared" si="5"/>
        <v>0</v>
      </c>
    </row>
    <row r="128" spans="1:6" x14ac:dyDescent="0.25">
      <c r="A128" s="3">
        <v>39995</v>
      </c>
      <c r="B128">
        <v>-3.1654780915664198E-2</v>
      </c>
      <c r="C128">
        <f t="shared" si="3"/>
        <v>1.7389304784264203E-2</v>
      </c>
      <c r="D128" t="b">
        <f t="shared" si="4"/>
        <v>1</v>
      </c>
      <c r="E128">
        <v>0</v>
      </c>
      <c r="F128" t="b">
        <f t="shared" si="5"/>
        <v>0</v>
      </c>
    </row>
    <row r="129" spans="1:6" x14ac:dyDescent="0.25">
      <c r="A129" s="3">
        <v>40026</v>
      </c>
      <c r="B129">
        <v>-3.4101137372136499E-2</v>
      </c>
      <c r="C129">
        <f t="shared" si="3"/>
        <v>-2.4463564564723012E-3</v>
      </c>
      <c r="D129" t="b">
        <f t="shared" si="4"/>
        <v>0</v>
      </c>
      <c r="E129">
        <v>0</v>
      </c>
      <c r="F129" t="b">
        <f t="shared" si="5"/>
        <v>0</v>
      </c>
    </row>
    <row r="130" spans="1:6" x14ac:dyDescent="0.25">
      <c r="A130" s="3">
        <v>40057</v>
      </c>
      <c r="B130">
        <v>-2.7237621639405199E-2</v>
      </c>
      <c r="C130">
        <f t="shared" si="3"/>
        <v>6.8635157327312998E-3</v>
      </c>
      <c r="D130" t="b">
        <f t="shared" si="4"/>
        <v>1</v>
      </c>
      <c r="E130">
        <v>0</v>
      </c>
      <c r="F130" t="b">
        <f t="shared" si="5"/>
        <v>0</v>
      </c>
    </row>
    <row r="131" spans="1:6" x14ac:dyDescent="0.25">
      <c r="A131" s="3">
        <v>40087</v>
      </c>
      <c r="B131">
        <v>-2.0369617942514601E-2</v>
      </c>
      <c r="C131">
        <f t="shared" si="3"/>
        <v>6.8680036968905983E-3</v>
      </c>
      <c r="D131" t="b">
        <f t="shared" si="4"/>
        <v>1</v>
      </c>
      <c r="E131">
        <v>0</v>
      </c>
      <c r="F131" t="b">
        <f t="shared" si="5"/>
        <v>0</v>
      </c>
    </row>
    <row r="132" spans="1:6" x14ac:dyDescent="0.25">
      <c r="A132" s="3">
        <v>40118</v>
      </c>
      <c r="B132">
        <v>-1.1467874236657001E-2</v>
      </c>
      <c r="C132">
        <f t="shared" ref="C132:C195" si="6">B132-B131</f>
        <v>8.9017437058576E-3</v>
      </c>
      <c r="D132" t="b">
        <f t="shared" ref="D132:D195" si="7">IF(C132&gt;0,TRUE)</f>
        <v>1</v>
      </c>
      <c r="E132">
        <v>0</v>
      </c>
      <c r="F132" t="b">
        <f t="shared" ref="F132:F195" si="8">IF(E132&gt;0, TRUE)</f>
        <v>0</v>
      </c>
    </row>
    <row r="133" spans="1:6" x14ac:dyDescent="0.25">
      <c r="A133" s="3">
        <v>40148</v>
      </c>
      <c r="B133">
        <v>-6.8821168918544702E-3</v>
      </c>
      <c r="C133">
        <f t="shared" si="6"/>
        <v>4.5857573448025305E-3</v>
      </c>
      <c r="D133" t="b">
        <f t="shared" si="7"/>
        <v>1</v>
      </c>
      <c r="E133">
        <v>0</v>
      </c>
      <c r="F133" t="b">
        <f t="shared" si="8"/>
        <v>0</v>
      </c>
    </row>
    <row r="134" spans="1:6" x14ac:dyDescent="0.25">
      <c r="A134" s="3">
        <v>40179</v>
      </c>
      <c r="B134">
        <v>-1.6839970647759599E-2</v>
      </c>
      <c r="C134">
        <f t="shared" si="6"/>
        <v>-9.9578537559051293E-3</v>
      </c>
      <c r="D134" t="b">
        <f t="shared" si="7"/>
        <v>0</v>
      </c>
      <c r="E134">
        <v>0</v>
      </c>
      <c r="F134" t="b">
        <f t="shared" si="8"/>
        <v>0</v>
      </c>
    </row>
    <row r="135" spans="1:6" x14ac:dyDescent="0.25">
      <c r="A135" s="3">
        <v>40210</v>
      </c>
      <c r="B135">
        <v>-1.0170826648191199E-2</v>
      </c>
      <c r="C135">
        <f t="shared" si="6"/>
        <v>6.6691439995683992E-3</v>
      </c>
      <c r="D135" t="b">
        <f t="shared" si="7"/>
        <v>1</v>
      </c>
      <c r="E135">
        <v>0</v>
      </c>
      <c r="F135" t="b">
        <f t="shared" si="8"/>
        <v>0</v>
      </c>
    </row>
    <row r="136" spans="1:6" x14ac:dyDescent="0.25">
      <c r="A136" s="3">
        <v>40238</v>
      </c>
      <c r="B136">
        <v>-4.9710038837691402E-3</v>
      </c>
      <c r="C136">
        <f t="shared" si="6"/>
        <v>5.1998227644220593E-3</v>
      </c>
      <c r="D136" t="b">
        <f t="shared" si="7"/>
        <v>1</v>
      </c>
      <c r="E136">
        <v>0</v>
      </c>
      <c r="F136" t="b">
        <f t="shared" si="8"/>
        <v>0</v>
      </c>
    </row>
    <row r="137" spans="1:6" x14ac:dyDescent="0.25">
      <c r="A137" s="3">
        <v>40269</v>
      </c>
      <c r="B137">
        <v>4.7619575592614503E-3</v>
      </c>
      <c r="C137">
        <f t="shared" si="6"/>
        <v>9.7329614430305897E-3</v>
      </c>
      <c r="D137" t="b">
        <f t="shared" si="7"/>
        <v>1</v>
      </c>
      <c r="E137">
        <v>0</v>
      </c>
      <c r="F137" t="b">
        <f t="shared" si="8"/>
        <v>0</v>
      </c>
    </row>
    <row r="138" spans="1:6" x14ac:dyDescent="0.25">
      <c r="A138" s="3">
        <v>40299</v>
      </c>
      <c r="B138">
        <v>9.0733001787235402E-4</v>
      </c>
      <c r="C138">
        <f t="shared" si="6"/>
        <v>-3.8546275413890961E-3</v>
      </c>
      <c r="D138" t="b">
        <f t="shared" si="7"/>
        <v>0</v>
      </c>
      <c r="E138">
        <v>0</v>
      </c>
      <c r="F138" t="b">
        <f t="shared" si="8"/>
        <v>0</v>
      </c>
    </row>
    <row r="139" spans="1:6" x14ac:dyDescent="0.25">
      <c r="A139" s="3">
        <v>40330</v>
      </c>
      <c r="B139">
        <v>-1.35552743553902E-3</v>
      </c>
      <c r="C139">
        <f t="shared" si="6"/>
        <v>-2.262857453411374E-3</v>
      </c>
      <c r="D139" t="b">
        <f t="shared" si="7"/>
        <v>0</v>
      </c>
      <c r="E139">
        <v>0</v>
      </c>
      <c r="F139" t="b">
        <f t="shared" si="8"/>
        <v>0</v>
      </c>
    </row>
    <row r="140" spans="1:6" x14ac:dyDescent="0.25">
      <c r="A140" s="3">
        <v>40360</v>
      </c>
      <c r="B140" s="2">
        <v>1.65336718849218E-5</v>
      </c>
      <c r="C140">
        <f t="shared" si="6"/>
        <v>1.3720611074239419E-3</v>
      </c>
      <c r="D140" t="b">
        <f t="shared" si="7"/>
        <v>1</v>
      </c>
      <c r="E140">
        <v>0</v>
      </c>
      <c r="F140" t="b">
        <f t="shared" si="8"/>
        <v>0</v>
      </c>
    </row>
    <row r="141" spans="1:6" x14ac:dyDescent="0.25">
      <c r="A141" s="3">
        <v>40391</v>
      </c>
      <c r="B141">
        <v>1.1896032437874699E-4</v>
      </c>
      <c r="C141">
        <f t="shared" si="6"/>
        <v>1.0242665249382519E-4</v>
      </c>
      <c r="D141" t="b">
        <f t="shared" si="7"/>
        <v>1</v>
      </c>
      <c r="E141">
        <v>0</v>
      </c>
      <c r="F141" t="b">
        <f t="shared" si="8"/>
        <v>0</v>
      </c>
    </row>
    <row r="142" spans="1:6" x14ac:dyDescent="0.25">
      <c r="A142" s="3">
        <v>40422</v>
      </c>
      <c r="B142">
        <v>7.3563363706075102E-4</v>
      </c>
      <c r="C142">
        <f t="shared" si="6"/>
        <v>6.1667331268200408E-4</v>
      </c>
      <c r="D142" t="b">
        <f t="shared" si="7"/>
        <v>1</v>
      </c>
      <c r="E142">
        <v>0</v>
      </c>
      <c r="F142" t="b">
        <f t="shared" si="8"/>
        <v>0</v>
      </c>
    </row>
    <row r="143" spans="1:6" x14ac:dyDescent="0.25">
      <c r="A143" s="3">
        <v>40452</v>
      </c>
      <c r="B143">
        <v>-2.0245075598408499E-3</v>
      </c>
      <c r="C143">
        <f t="shared" si="6"/>
        <v>-2.7601411969016007E-3</v>
      </c>
      <c r="D143" t="b">
        <f t="shared" si="7"/>
        <v>0</v>
      </c>
      <c r="E143">
        <v>0</v>
      </c>
      <c r="F143" t="b">
        <f t="shared" si="8"/>
        <v>0</v>
      </c>
    </row>
    <row r="144" spans="1:6" x14ac:dyDescent="0.25">
      <c r="A144" s="3">
        <v>40483</v>
      </c>
      <c r="B144">
        <v>-2.4474543079984201E-3</v>
      </c>
      <c r="C144">
        <f t="shared" si="6"/>
        <v>-4.2294674815757018E-4</v>
      </c>
      <c r="D144" t="b">
        <f t="shared" si="7"/>
        <v>0</v>
      </c>
      <c r="E144">
        <v>0</v>
      </c>
      <c r="F144" t="b">
        <f t="shared" si="8"/>
        <v>0</v>
      </c>
    </row>
    <row r="145" spans="1:6" x14ac:dyDescent="0.25">
      <c r="A145" s="3">
        <v>40513</v>
      </c>
      <c r="B145">
        <v>3.1771347073954498E-3</v>
      </c>
      <c r="C145">
        <f t="shared" si="6"/>
        <v>5.6245890153938695E-3</v>
      </c>
      <c r="D145" t="b">
        <f t="shared" si="7"/>
        <v>1</v>
      </c>
      <c r="E145">
        <v>0</v>
      </c>
      <c r="F145" t="b">
        <f t="shared" si="8"/>
        <v>0</v>
      </c>
    </row>
    <row r="146" spans="1:6" x14ac:dyDescent="0.25">
      <c r="A146" s="3">
        <v>40544</v>
      </c>
      <c r="B146">
        <v>2.0355750815390702E-3</v>
      </c>
      <c r="C146">
        <f t="shared" si="6"/>
        <v>-1.1415596258563796E-3</v>
      </c>
      <c r="D146" t="b">
        <f t="shared" si="7"/>
        <v>0</v>
      </c>
      <c r="E146">
        <v>0</v>
      </c>
      <c r="F146" t="b">
        <f t="shared" si="8"/>
        <v>0</v>
      </c>
    </row>
    <row r="147" spans="1:6" x14ac:dyDescent="0.25">
      <c r="A147" s="3">
        <v>40575</v>
      </c>
      <c r="B147">
        <v>1.7034017280783699E-3</v>
      </c>
      <c r="C147">
        <f t="shared" si="6"/>
        <v>-3.3217335346070022E-4</v>
      </c>
      <c r="D147" t="b">
        <f t="shared" si="7"/>
        <v>0</v>
      </c>
      <c r="E147">
        <v>0</v>
      </c>
      <c r="F147" t="b">
        <f t="shared" si="8"/>
        <v>0</v>
      </c>
    </row>
    <row r="148" spans="1:6" x14ac:dyDescent="0.25">
      <c r="A148" s="3">
        <v>40603</v>
      </c>
      <c r="B148">
        <v>5.3726930356221602E-3</v>
      </c>
      <c r="C148">
        <f t="shared" si="6"/>
        <v>3.6692913075437902E-3</v>
      </c>
      <c r="D148" t="b">
        <f t="shared" si="7"/>
        <v>1</v>
      </c>
      <c r="E148">
        <v>0</v>
      </c>
      <c r="F148" t="b">
        <f t="shared" si="8"/>
        <v>0</v>
      </c>
    </row>
    <row r="149" spans="1:6" x14ac:dyDescent="0.25">
      <c r="A149" s="3">
        <v>40634</v>
      </c>
      <c r="B149">
        <v>-7.1383677535976596E-3</v>
      </c>
      <c r="C149">
        <f t="shared" si="6"/>
        <v>-1.2511060789219819E-2</v>
      </c>
      <c r="D149" t="b">
        <f t="shared" si="7"/>
        <v>0</v>
      </c>
      <c r="E149">
        <v>0</v>
      </c>
      <c r="F149" t="b">
        <f t="shared" si="8"/>
        <v>0</v>
      </c>
    </row>
    <row r="150" spans="1:6" x14ac:dyDescent="0.25">
      <c r="A150" s="3">
        <v>40664</v>
      </c>
      <c r="B150">
        <v>3.7957067050733398E-3</v>
      </c>
      <c r="C150">
        <f t="shared" si="6"/>
        <v>1.0934074458670999E-2</v>
      </c>
      <c r="D150" t="b">
        <f t="shared" si="7"/>
        <v>1</v>
      </c>
      <c r="E150">
        <v>0</v>
      </c>
      <c r="F150" t="b">
        <f t="shared" si="8"/>
        <v>0</v>
      </c>
    </row>
    <row r="151" spans="1:6" x14ac:dyDescent="0.25">
      <c r="A151" s="3">
        <v>40695</v>
      </c>
      <c r="B151">
        <v>5.1282357936717196E-3</v>
      </c>
      <c r="C151">
        <f t="shared" si="6"/>
        <v>1.3325290885983798E-3</v>
      </c>
      <c r="D151" t="b">
        <f t="shared" si="7"/>
        <v>1</v>
      </c>
      <c r="E151">
        <v>0</v>
      </c>
      <c r="F151" t="b">
        <f t="shared" si="8"/>
        <v>0</v>
      </c>
    </row>
    <row r="152" spans="1:6" x14ac:dyDescent="0.25">
      <c r="A152" s="3">
        <v>40725</v>
      </c>
      <c r="B152">
        <v>5.4792828635781303E-3</v>
      </c>
      <c r="C152">
        <f t="shared" si="6"/>
        <v>3.5104706990641069E-4</v>
      </c>
      <c r="D152" t="b">
        <f t="shared" si="7"/>
        <v>1</v>
      </c>
      <c r="E152">
        <v>0</v>
      </c>
      <c r="F152" t="b">
        <f t="shared" si="8"/>
        <v>0</v>
      </c>
    </row>
    <row r="153" spans="1:6" x14ac:dyDescent="0.25">
      <c r="A153" s="3">
        <v>40756</v>
      </c>
      <c r="B153">
        <v>1.10385529860952E-2</v>
      </c>
      <c r="C153">
        <f t="shared" si="6"/>
        <v>5.5592701225170701E-3</v>
      </c>
      <c r="D153" t="b">
        <f t="shared" si="7"/>
        <v>1</v>
      </c>
      <c r="E153">
        <v>0</v>
      </c>
      <c r="F153" t="b">
        <f t="shared" si="8"/>
        <v>0</v>
      </c>
    </row>
    <row r="154" spans="1:6" x14ac:dyDescent="0.25">
      <c r="A154" s="3">
        <v>40787</v>
      </c>
      <c r="B154">
        <v>9.5849602330568794E-3</v>
      </c>
      <c r="C154">
        <f t="shared" si="6"/>
        <v>-1.453592753038321E-3</v>
      </c>
      <c r="D154" t="b">
        <f t="shared" si="7"/>
        <v>0</v>
      </c>
      <c r="E154">
        <v>0</v>
      </c>
      <c r="F154" t="b">
        <f t="shared" si="8"/>
        <v>0</v>
      </c>
    </row>
    <row r="155" spans="1:6" x14ac:dyDescent="0.25">
      <c r="A155" s="3">
        <v>40817</v>
      </c>
      <c r="B155">
        <v>7.42543468150991E-3</v>
      </c>
      <c r="C155">
        <f t="shared" si="6"/>
        <v>-2.1595255515469694E-3</v>
      </c>
      <c r="D155" t="b">
        <f t="shared" si="7"/>
        <v>0</v>
      </c>
      <c r="E155">
        <v>0</v>
      </c>
      <c r="F155" t="b">
        <f t="shared" si="8"/>
        <v>0</v>
      </c>
    </row>
    <row r="156" spans="1:6" x14ac:dyDescent="0.25">
      <c r="A156" s="3">
        <v>40848</v>
      </c>
      <c r="B156">
        <v>1.1847119650043999E-2</v>
      </c>
      <c r="C156">
        <f t="shared" si="6"/>
        <v>4.4216849685340892E-3</v>
      </c>
      <c r="D156" t="b">
        <f t="shared" si="7"/>
        <v>1</v>
      </c>
      <c r="E156">
        <v>0</v>
      </c>
      <c r="F156" t="b">
        <f t="shared" si="8"/>
        <v>0</v>
      </c>
    </row>
    <row r="157" spans="1:6" x14ac:dyDescent="0.25">
      <c r="A157" s="3">
        <v>40878</v>
      </c>
      <c r="B157">
        <v>8.7301046184400394E-3</v>
      </c>
      <c r="C157">
        <f t="shared" si="6"/>
        <v>-3.1170150316039598E-3</v>
      </c>
      <c r="D157" t="b">
        <f t="shared" si="7"/>
        <v>0</v>
      </c>
      <c r="E157">
        <v>0</v>
      </c>
      <c r="F157" t="b">
        <f t="shared" si="8"/>
        <v>0</v>
      </c>
    </row>
    <row r="158" spans="1:6" x14ac:dyDescent="0.25">
      <c r="A158" s="3">
        <v>40909</v>
      </c>
      <c r="B158">
        <v>1.51034738293134E-2</v>
      </c>
      <c r="C158">
        <f t="shared" si="6"/>
        <v>6.3733692108733607E-3</v>
      </c>
      <c r="D158" t="b">
        <f t="shared" si="7"/>
        <v>1</v>
      </c>
      <c r="E158">
        <v>0</v>
      </c>
      <c r="F158" t="b">
        <f t="shared" si="8"/>
        <v>0</v>
      </c>
    </row>
    <row r="159" spans="1:6" x14ac:dyDescent="0.25">
      <c r="A159" s="3">
        <v>40940</v>
      </c>
      <c r="B159">
        <v>1.4667059720899499E-2</v>
      </c>
      <c r="C159">
        <f t="shared" si="6"/>
        <v>-4.3641410841390067E-4</v>
      </c>
      <c r="D159" t="b">
        <f t="shared" si="7"/>
        <v>0</v>
      </c>
      <c r="E159">
        <v>0</v>
      </c>
      <c r="F159" t="b">
        <f t="shared" si="8"/>
        <v>0</v>
      </c>
    </row>
    <row r="160" spans="1:6" x14ac:dyDescent="0.25">
      <c r="A160" s="3">
        <v>40969</v>
      </c>
      <c r="B160">
        <v>1.41851648298506E-2</v>
      </c>
      <c r="C160">
        <f t="shared" si="6"/>
        <v>-4.8189489104889967E-4</v>
      </c>
      <c r="D160" t="b">
        <f t="shared" si="7"/>
        <v>0</v>
      </c>
      <c r="E160">
        <v>0</v>
      </c>
      <c r="F160" t="b">
        <f t="shared" si="8"/>
        <v>0</v>
      </c>
    </row>
    <row r="161" spans="1:6" x14ac:dyDescent="0.25">
      <c r="A161" s="3">
        <v>41000</v>
      </c>
      <c r="B161">
        <v>1.42378065452471E-2</v>
      </c>
      <c r="C161">
        <f t="shared" si="6"/>
        <v>5.2641715396499825E-5</v>
      </c>
      <c r="D161" t="b">
        <f t="shared" si="7"/>
        <v>1</v>
      </c>
      <c r="E161">
        <v>0</v>
      </c>
      <c r="F161" t="b">
        <f t="shared" si="8"/>
        <v>0</v>
      </c>
    </row>
    <row r="162" spans="1:6" x14ac:dyDescent="0.25">
      <c r="A162" s="3">
        <v>41030</v>
      </c>
      <c r="B162">
        <v>7.4466967516189104E-3</v>
      </c>
      <c r="C162">
        <f t="shared" si="6"/>
        <v>-6.7911097936281892E-3</v>
      </c>
      <c r="D162" t="b">
        <f t="shared" si="7"/>
        <v>0</v>
      </c>
      <c r="E162">
        <v>0</v>
      </c>
      <c r="F162" t="b">
        <f t="shared" si="8"/>
        <v>0</v>
      </c>
    </row>
    <row r="163" spans="1:6" x14ac:dyDescent="0.25">
      <c r="A163" s="3">
        <v>41061</v>
      </c>
      <c r="B163">
        <v>1.1886530411543601E-2</v>
      </c>
      <c r="C163">
        <f t="shared" si="6"/>
        <v>4.4398336599246902E-3</v>
      </c>
      <c r="D163" t="b">
        <f t="shared" si="7"/>
        <v>1</v>
      </c>
      <c r="E163">
        <v>0</v>
      </c>
      <c r="F163" t="b">
        <f t="shared" si="8"/>
        <v>0</v>
      </c>
    </row>
    <row r="164" spans="1:6" x14ac:dyDescent="0.25">
      <c r="A164" s="3">
        <v>41091</v>
      </c>
      <c r="B164">
        <v>1.3677566281171699E-2</v>
      </c>
      <c r="C164">
        <f t="shared" si="6"/>
        <v>1.7910358696280985E-3</v>
      </c>
      <c r="D164" t="b">
        <f t="shared" si="7"/>
        <v>1</v>
      </c>
      <c r="E164">
        <v>0</v>
      </c>
      <c r="F164" t="b">
        <f t="shared" si="8"/>
        <v>0</v>
      </c>
    </row>
    <row r="165" spans="1:6" x14ac:dyDescent="0.25">
      <c r="A165" s="3">
        <v>41122</v>
      </c>
      <c r="B165">
        <v>5.7407729575524903E-3</v>
      </c>
      <c r="C165">
        <f t="shared" si="6"/>
        <v>-7.9367933236192088E-3</v>
      </c>
      <c r="D165" t="b">
        <f t="shared" si="7"/>
        <v>0</v>
      </c>
      <c r="E165">
        <v>0</v>
      </c>
      <c r="F165" t="b">
        <f t="shared" si="8"/>
        <v>0</v>
      </c>
    </row>
    <row r="166" spans="1:6" x14ac:dyDescent="0.25">
      <c r="A166" s="3">
        <v>41153</v>
      </c>
      <c r="B166">
        <v>7.5853974704109799E-3</v>
      </c>
      <c r="C166">
        <f t="shared" si="6"/>
        <v>1.8446245128584896E-3</v>
      </c>
      <c r="D166" t="b">
        <f t="shared" si="7"/>
        <v>1</v>
      </c>
      <c r="E166">
        <v>0</v>
      </c>
      <c r="F166" t="b">
        <f t="shared" si="8"/>
        <v>0</v>
      </c>
    </row>
    <row r="167" spans="1:6" x14ac:dyDescent="0.25">
      <c r="A167" s="3">
        <v>41183</v>
      </c>
      <c r="B167">
        <v>4.3645205392417504E-3</v>
      </c>
      <c r="C167">
        <f t="shared" si="6"/>
        <v>-3.2208769311692295E-3</v>
      </c>
      <c r="D167" t="b">
        <f t="shared" si="7"/>
        <v>0</v>
      </c>
      <c r="E167">
        <v>0</v>
      </c>
      <c r="F167" t="b">
        <f t="shared" si="8"/>
        <v>0</v>
      </c>
    </row>
    <row r="168" spans="1:6" x14ac:dyDescent="0.25">
      <c r="A168" s="3">
        <v>41214</v>
      </c>
      <c r="B168">
        <v>1.20029546518001E-2</v>
      </c>
      <c r="C168">
        <f t="shared" si="6"/>
        <v>7.6384341125583493E-3</v>
      </c>
      <c r="D168" t="b">
        <f t="shared" si="7"/>
        <v>1</v>
      </c>
      <c r="E168">
        <v>0</v>
      </c>
      <c r="F168" t="b">
        <f t="shared" si="8"/>
        <v>0</v>
      </c>
    </row>
    <row r="169" spans="1:6" x14ac:dyDescent="0.25">
      <c r="A169" s="3">
        <v>41244</v>
      </c>
      <c r="B169">
        <v>6.4063889728487302E-3</v>
      </c>
      <c r="C169">
        <f t="shared" si="6"/>
        <v>-5.5965656789513695E-3</v>
      </c>
      <c r="D169" t="b">
        <f t="shared" si="7"/>
        <v>0</v>
      </c>
      <c r="E169">
        <v>0</v>
      </c>
      <c r="F169" t="b">
        <f t="shared" si="8"/>
        <v>0</v>
      </c>
    </row>
    <row r="170" spans="1:6" x14ac:dyDescent="0.25">
      <c r="A170" s="3">
        <v>41275</v>
      </c>
      <c r="B170">
        <v>3.5531482817337001E-3</v>
      </c>
      <c r="C170">
        <f t="shared" si="6"/>
        <v>-2.8532406911150302E-3</v>
      </c>
      <c r="D170" t="b">
        <f t="shared" si="7"/>
        <v>0</v>
      </c>
      <c r="E170">
        <v>0</v>
      </c>
      <c r="F170" t="b">
        <f t="shared" si="8"/>
        <v>0</v>
      </c>
    </row>
    <row r="171" spans="1:6" x14ac:dyDescent="0.25">
      <c r="A171" s="3">
        <v>41306</v>
      </c>
      <c r="B171">
        <v>1.9963708773307299E-4</v>
      </c>
      <c r="C171">
        <f t="shared" si="6"/>
        <v>-3.3535111940006272E-3</v>
      </c>
      <c r="D171" t="b">
        <f t="shared" si="7"/>
        <v>0</v>
      </c>
      <c r="E171">
        <v>0</v>
      </c>
      <c r="F171" t="b">
        <f t="shared" si="8"/>
        <v>0</v>
      </c>
    </row>
    <row r="172" spans="1:6" x14ac:dyDescent="0.25">
      <c r="A172" s="3">
        <v>41334</v>
      </c>
      <c r="B172">
        <v>-2.41780500049149E-3</v>
      </c>
      <c r="C172">
        <f t="shared" si="6"/>
        <v>-2.6174420882245628E-3</v>
      </c>
      <c r="D172" t="b">
        <f t="shared" si="7"/>
        <v>0</v>
      </c>
      <c r="E172">
        <v>-0.36111111111111072</v>
      </c>
      <c r="F172" t="b">
        <f t="shared" si="8"/>
        <v>0</v>
      </c>
    </row>
    <row r="173" spans="1:6" x14ac:dyDescent="0.25">
      <c r="A173" s="3">
        <v>41365</v>
      </c>
      <c r="B173">
        <v>-7.6824682629697003E-3</v>
      </c>
      <c r="C173">
        <f t="shared" si="6"/>
        <v>-5.2646632624782103E-3</v>
      </c>
      <c r="D173" t="b">
        <f t="shared" si="7"/>
        <v>0</v>
      </c>
      <c r="E173">
        <v>-0.43181818181818166</v>
      </c>
      <c r="F173" t="b">
        <f t="shared" si="8"/>
        <v>0</v>
      </c>
    </row>
    <row r="174" spans="1:6" x14ac:dyDescent="0.25">
      <c r="A174" s="3">
        <v>41395</v>
      </c>
      <c r="B174">
        <v>-1.4195776588916699E-3</v>
      </c>
      <c r="C174">
        <f t="shared" si="6"/>
        <v>6.2628906040780308E-3</v>
      </c>
      <c r="D174" t="b">
        <f t="shared" si="7"/>
        <v>1</v>
      </c>
      <c r="E174">
        <v>0</v>
      </c>
      <c r="F174" t="b">
        <f t="shared" si="8"/>
        <v>0</v>
      </c>
    </row>
    <row r="175" spans="1:6" x14ac:dyDescent="0.25">
      <c r="A175" s="3">
        <v>41426</v>
      </c>
      <c r="B175">
        <v>-6.4656974501193804E-3</v>
      </c>
      <c r="C175">
        <f t="shared" si="6"/>
        <v>-5.04611979122771E-3</v>
      </c>
      <c r="D175" t="b">
        <f t="shared" si="7"/>
        <v>0</v>
      </c>
      <c r="E175">
        <v>0</v>
      </c>
      <c r="F175" t="b">
        <f t="shared" si="8"/>
        <v>0</v>
      </c>
    </row>
    <row r="176" spans="1:6" x14ac:dyDescent="0.25">
      <c r="A176" s="3">
        <v>41456</v>
      </c>
      <c r="B176">
        <v>-7.7822232614286301E-3</v>
      </c>
      <c r="C176">
        <f t="shared" si="6"/>
        <v>-1.3165258113092496E-3</v>
      </c>
      <c r="D176" t="b">
        <f t="shared" si="7"/>
        <v>0</v>
      </c>
      <c r="E176">
        <v>0</v>
      </c>
      <c r="F176" t="b">
        <f t="shared" si="8"/>
        <v>0</v>
      </c>
    </row>
    <row r="177" spans="1:6" x14ac:dyDescent="0.25">
      <c r="A177" s="3">
        <v>41487</v>
      </c>
      <c r="B177">
        <v>-3.3558000941953398E-3</v>
      </c>
      <c r="C177">
        <f t="shared" si="6"/>
        <v>4.4264231672332902E-3</v>
      </c>
      <c r="D177" t="b">
        <f t="shared" si="7"/>
        <v>1</v>
      </c>
      <c r="E177">
        <v>0</v>
      </c>
      <c r="F177" t="b">
        <f t="shared" si="8"/>
        <v>0</v>
      </c>
    </row>
    <row r="178" spans="1:6" x14ac:dyDescent="0.25">
      <c r="A178" s="3">
        <v>41518</v>
      </c>
      <c r="B178">
        <v>-6.5835371192965999E-3</v>
      </c>
      <c r="C178">
        <f t="shared" si="6"/>
        <v>-3.2277370251012601E-3</v>
      </c>
      <c r="D178" t="b">
        <f t="shared" si="7"/>
        <v>0</v>
      </c>
      <c r="E178">
        <v>-0.20000000000000018</v>
      </c>
      <c r="F178" t="b">
        <f t="shared" si="8"/>
        <v>0</v>
      </c>
    </row>
    <row r="179" spans="1:6" x14ac:dyDescent="0.25">
      <c r="A179" s="3">
        <v>41548</v>
      </c>
      <c r="B179">
        <v>-5.27420345809215E-3</v>
      </c>
      <c r="C179">
        <f t="shared" si="6"/>
        <v>1.3093336612044499E-3</v>
      </c>
      <c r="D179" t="b">
        <f t="shared" si="7"/>
        <v>1</v>
      </c>
      <c r="E179">
        <v>-0.19565217391304346</v>
      </c>
      <c r="F179" t="b">
        <f t="shared" si="8"/>
        <v>0</v>
      </c>
    </row>
    <row r="180" spans="1:6" x14ac:dyDescent="0.25">
      <c r="A180" s="3">
        <v>41579</v>
      </c>
      <c r="B180">
        <v>-9.4173441218261492E-3</v>
      </c>
      <c r="C180">
        <f t="shared" si="6"/>
        <v>-4.1431406637339992E-3</v>
      </c>
      <c r="D180" t="b">
        <f t="shared" si="7"/>
        <v>0</v>
      </c>
      <c r="E180">
        <v>0</v>
      </c>
      <c r="F180" t="b">
        <f t="shared" si="8"/>
        <v>0</v>
      </c>
    </row>
    <row r="181" spans="1:6" x14ac:dyDescent="0.25">
      <c r="A181" s="3">
        <v>41609</v>
      </c>
      <c r="B181">
        <v>-5.3060595025078401E-3</v>
      </c>
      <c r="C181">
        <f t="shared" si="6"/>
        <v>4.1112846193183091E-3</v>
      </c>
      <c r="D181" t="b">
        <f t="shared" si="7"/>
        <v>1</v>
      </c>
      <c r="E181">
        <v>0</v>
      </c>
      <c r="F181" t="b">
        <f t="shared" si="8"/>
        <v>0</v>
      </c>
    </row>
    <row r="182" spans="1:6" x14ac:dyDescent="0.25">
      <c r="A182" s="3">
        <v>41640</v>
      </c>
      <c r="B182">
        <v>-1.53543893195982E-2</v>
      </c>
      <c r="C182">
        <f t="shared" si="6"/>
        <v>-1.0048329817090359E-2</v>
      </c>
      <c r="D182" t="b">
        <f t="shared" si="7"/>
        <v>0</v>
      </c>
      <c r="E182">
        <v>0</v>
      </c>
      <c r="F182" t="b">
        <f t="shared" si="8"/>
        <v>0</v>
      </c>
    </row>
    <row r="183" spans="1:6" x14ac:dyDescent="0.25">
      <c r="A183" s="3">
        <v>41671</v>
      </c>
      <c r="B183">
        <v>-4.1916178265628502E-3</v>
      </c>
      <c r="C183">
        <f t="shared" si="6"/>
        <v>1.1162771493035351E-2</v>
      </c>
      <c r="D183" t="b">
        <f t="shared" si="7"/>
        <v>1</v>
      </c>
      <c r="E183">
        <v>0</v>
      </c>
      <c r="F183" t="b">
        <f t="shared" si="8"/>
        <v>0</v>
      </c>
    </row>
    <row r="184" spans="1:6" x14ac:dyDescent="0.25">
      <c r="A184" s="3">
        <v>41699</v>
      </c>
      <c r="B184">
        <v>-3.2686994906914201E-3</v>
      </c>
      <c r="C184">
        <f t="shared" si="6"/>
        <v>9.2291833587143006E-4</v>
      </c>
      <c r="D184" t="b">
        <f t="shared" si="7"/>
        <v>1</v>
      </c>
      <c r="E184">
        <v>0</v>
      </c>
      <c r="F184" t="b">
        <f t="shared" si="8"/>
        <v>0</v>
      </c>
    </row>
    <row r="185" spans="1:6" x14ac:dyDescent="0.25">
      <c r="A185" s="3">
        <v>41730</v>
      </c>
      <c r="B185">
        <v>-5.8893874399767998E-4</v>
      </c>
      <c r="C185">
        <f t="shared" si="6"/>
        <v>2.67976074669374E-3</v>
      </c>
      <c r="D185" t="b">
        <f t="shared" si="7"/>
        <v>1</v>
      </c>
      <c r="E185">
        <v>0</v>
      </c>
      <c r="F185" t="b">
        <f t="shared" si="8"/>
        <v>0</v>
      </c>
    </row>
    <row r="186" spans="1:6" x14ac:dyDescent="0.25">
      <c r="A186" s="3">
        <v>41760</v>
      </c>
      <c r="B186">
        <v>4.8546006740943799E-3</v>
      </c>
      <c r="C186">
        <f t="shared" si="6"/>
        <v>5.4435394180920599E-3</v>
      </c>
      <c r="D186" t="b">
        <f t="shared" si="7"/>
        <v>1</v>
      </c>
      <c r="E186">
        <v>0</v>
      </c>
      <c r="F186" t="b">
        <f t="shared" si="8"/>
        <v>0</v>
      </c>
    </row>
    <row r="187" spans="1:6" x14ac:dyDescent="0.25">
      <c r="A187" s="3">
        <v>41791</v>
      </c>
      <c r="B187">
        <v>-7.4146945227582305E-4</v>
      </c>
      <c r="C187">
        <f t="shared" si="6"/>
        <v>-5.5960701263702032E-3</v>
      </c>
      <c r="D187" t="b">
        <f t="shared" si="7"/>
        <v>0</v>
      </c>
      <c r="E187">
        <v>-0.40476190476190466</v>
      </c>
      <c r="F187" t="b">
        <f t="shared" si="8"/>
        <v>0</v>
      </c>
    </row>
    <row r="188" spans="1:6" x14ac:dyDescent="0.25">
      <c r="A188" s="3">
        <v>41821</v>
      </c>
      <c r="B188">
        <v>3.4913638530866798E-3</v>
      </c>
      <c r="C188">
        <f t="shared" si="6"/>
        <v>4.2328333053625027E-3</v>
      </c>
      <c r="D188" t="b">
        <f t="shared" si="7"/>
        <v>1</v>
      </c>
      <c r="E188">
        <v>-0.17391304347826075</v>
      </c>
      <c r="F188" t="b">
        <f t="shared" si="8"/>
        <v>0</v>
      </c>
    </row>
    <row r="189" spans="1:6" x14ac:dyDescent="0.25">
      <c r="A189" s="3">
        <v>41852</v>
      </c>
      <c r="B189">
        <v>-5.1776020945766303E-3</v>
      </c>
      <c r="C189">
        <f t="shared" si="6"/>
        <v>-8.6689659476633096E-3</v>
      </c>
      <c r="D189" t="b">
        <f t="shared" si="7"/>
        <v>0</v>
      </c>
      <c r="E189">
        <v>0</v>
      </c>
      <c r="F189" t="b">
        <f t="shared" si="8"/>
        <v>0</v>
      </c>
    </row>
    <row r="190" spans="1:6" x14ac:dyDescent="0.25">
      <c r="A190" s="3">
        <v>41883</v>
      </c>
      <c r="B190">
        <v>-4.8027393475029703E-3</v>
      </c>
      <c r="C190">
        <f t="shared" si="6"/>
        <v>3.7486274707365999E-4</v>
      </c>
      <c r="D190" t="b">
        <f t="shared" si="7"/>
        <v>1</v>
      </c>
      <c r="E190">
        <v>0</v>
      </c>
      <c r="F190" t="b">
        <f t="shared" si="8"/>
        <v>0</v>
      </c>
    </row>
    <row r="191" spans="1:6" x14ac:dyDescent="0.25">
      <c r="A191" s="3">
        <v>41913</v>
      </c>
      <c r="B191">
        <v>3.0544178800440098E-4</v>
      </c>
      <c r="C191">
        <f t="shared" si="6"/>
        <v>5.1081811355073716E-3</v>
      </c>
      <c r="D191" t="b">
        <f t="shared" si="7"/>
        <v>1</v>
      </c>
      <c r="E191">
        <v>0</v>
      </c>
      <c r="F191" t="b">
        <f t="shared" si="8"/>
        <v>0</v>
      </c>
    </row>
    <row r="192" spans="1:6" x14ac:dyDescent="0.25">
      <c r="A192" s="3">
        <v>41944</v>
      </c>
      <c r="B192" s="2">
        <v>-3.2325161526181E-5</v>
      </c>
      <c r="C192">
        <f t="shared" si="6"/>
        <v>-3.3776694953058196E-4</v>
      </c>
      <c r="D192" t="b">
        <f t="shared" si="7"/>
        <v>0</v>
      </c>
      <c r="E192">
        <v>0</v>
      </c>
      <c r="F192" t="b">
        <f t="shared" si="8"/>
        <v>0</v>
      </c>
    </row>
    <row r="193" spans="1:6" x14ac:dyDescent="0.25">
      <c r="A193" s="3">
        <v>41974</v>
      </c>
      <c r="B193">
        <v>-3.0732344042094799E-3</v>
      </c>
      <c r="C193">
        <f t="shared" si="6"/>
        <v>-3.0409092426832989E-3</v>
      </c>
      <c r="D193" t="b">
        <f t="shared" si="7"/>
        <v>0</v>
      </c>
      <c r="E193">
        <v>0</v>
      </c>
      <c r="F193" t="b">
        <f t="shared" si="8"/>
        <v>0</v>
      </c>
    </row>
    <row r="194" spans="1:6" x14ac:dyDescent="0.25">
      <c r="A194" s="3">
        <v>42005</v>
      </c>
      <c r="B194">
        <v>-4.2725451503615704E-3</v>
      </c>
      <c r="C194">
        <f t="shared" si="6"/>
        <v>-1.1993107461520905E-3</v>
      </c>
      <c r="D194" t="b">
        <f t="shared" si="7"/>
        <v>0</v>
      </c>
      <c r="E194">
        <v>0</v>
      </c>
      <c r="F194" t="b">
        <f t="shared" si="8"/>
        <v>0</v>
      </c>
    </row>
    <row r="195" spans="1:6" x14ac:dyDescent="0.25">
      <c r="A195" s="3">
        <v>42036</v>
      </c>
      <c r="B195">
        <v>-2.3891093714150098E-3</v>
      </c>
      <c r="C195">
        <f t="shared" si="6"/>
        <v>1.8834357789465606E-3</v>
      </c>
      <c r="D195" t="b">
        <f t="shared" si="7"/>
        <v>1</v>
      </c>
      <c r="E195">
        <v>0</v>
      </c>
      <c r="F195" t="b">
        <f t="shared" si="8"/>
        <v>0</v>
      </c>
    </row>
    <row r="196" spans="1:6" x14ac:dyDescent="0.25">
      <c r="A196" s="3">
        <v>42064</v>
      </c>
      <c r="B196">
        <v>-2.1937917683896302E-3</v>
      </c>
      <c r="C196">
        <f t="shared" ref="C196:C259" si="9">B196-B195</f>
        <v>1.953176030253796E-4</v>
      </c>
      <c r="D196" t="b">
        <f t="shared" ref="D196:D259" si="10">IF(C196&gt;0,TRUE)</f>
        <v>1</v>
      </c>
      <c r="E196">
        <v>0</v>
      </c>
      <c r="F196" t="b">
        <f t="shared" ref="F196:F259" si="11">IF(E196&gt;0, TRUE)</f>
        <v>0</v>
      </c>
    </row>
    <row r="197" spans="1:6" x14ac:dyDescent="0.25">
      <c r="A197" s="3">
        <v>42095</v>
      </c>
      <c r="B197">
        <v>4.8615102831091103E-3</v>
      </c>
      <c r="C197">
        <f t="shared" si="9"/>
        <v>7.0553020514987404E-3</v>
      </c>
      <c r="D197" t="b">
        <f t="shared" si="10"/>
        <v>1</v>
      </c>
      <c r="E197">
        <v>0</v>
      </c>
      <c r="F197" t="b">
        <f t="shared" si="11"/>
        <v>0</v>
      </c>
    </row>
    <row r="198" spans="1:6" x14ac:dyDescent="0.25">
      <c r="A198" s="3">
        <v>42125</v>
      </c>
      <c r="B198">
        <v>-4.0580259422222697E-3</v>
      </c>
      <c r="C198">
        <f t="shared" si="9"/>
        <v>-8.9195362253313808E-3</v>
      </c>
      <c r="D198" t="b">
        <f t="shared" si="10"/>
        <v>0</v>
      </c>
      <c r="E198">
        <v>0</v>
      </c>
      <c r="F198" t="b">
        <f t="shared" si="11"/>
        <v>0</v>
      </c>
    </row>
    <row r="199" spans="1:6" x14ac:dyDescent="0.25">
      <c r="A199" s="3">
        <v>42156</v>
      </c>
      <c r="B199">
        <v>-1.2080617872705099E-3</v>
      </c>
      <c r="C199">
        <f t="shared" si="9"/>
        <v>2.8499641549517597E-3</v>
      </c>
      <c r="D199" t="b">
        <f t="shared" si="10"/>
        <v>1</v>
      </c>
      <c r="E199">
        <v>0</v>
      </c>
      <c r="F199" t="b">
        <f t="shared" si="11"/>
        <v>0</v>
      </c>
    </row>
    <row r="200" spans="1:6" x14ac:dyDescent="0.25">
      <c r="A200" s="3">
        <v>42186</v>
      </c>
      <c r="B200">
        <v>4.5822910309265604E-3</v>
      </c>
      <c r="C200">
        <f t="shared" si="9"/>
        <v>5.7903528181970703E-3</v>
      </c>
      <c r="D200" t="b">
        <f t="shared" si="10"/>
        <v>1</v>
      </c>
      <c r="E200">
        <v>0</v>
      </c>
      <c r="F200" t="b">
        <f t="shared" si="11"/>
        <v>0</v>
      </c>
    </row>
    <row r="201" spans="1:6" x14ac:dyDescent="0.25">
      <c r="A201" s="3">
        <v>42217</v>
      </c>
      <c r="B201">
        <v>2.2595061246848398E-3</v>
      </c>
      <c r="C201">
        <f t="shared" si="9"/>
        <v>-2.3227849062417206E-3</v>
      </c>
      <c r="D201" t="b">
        <f t="shared" si="10"/>
        <v>0</v>
      </c>
      <c r="E201">
        <v>0</v>
      </c>
      <c r="F201" t="b">
        <f t="shared" si="11"/>
        <v>0</v>
      </c>
    </row>
    <row r="202" spans="1:6" x14ac:dyDescent="0.25">
      <c r="A202" s="3">
        <v>42248</v>
      </c>
      <c r="B202">
        <v>1.55867549313475E-2</v>
      </c>
      <c r="C202">
        <f t="shared" si="9"/>
        <v>1.332724880666266E-2</v>
      </c>
      <c r="D202" t="b">
        <f t="shared" si="10"/>
        <v>1</v>
      </c>
      <c r="E202">
        <v>0</v>
      </c>
      <c r="F202" t="b">
        <f t="shared" si="11"/>
        <v>0</v>
      </c>
    </row>
    <row r="203" spans="1:6" x14ac:dyDescent="0.25">
      <c r="A203" s="3">
        <v>42278</v>
      </c>
      <c r="B203">
        <v>1.3042398508318299E-3</v>
      </c>
      <c r="C203">
        <f t="shared" si="9"/>
        <v>-1.428251508051567E-2</v>
      </c>
      <c r="D203" t="b">
        <f t="shared" si="10"/>
        <v>0</v>
      </c>
      <c r="E203">
        <v>0</v>
      </c>
      <c r="F203" t="b">
        <f t="shared" si="11"/>
        <v>0</v>
      </c>
    </row>
    <row r="204" spans="1:6" x14ac:dyDescent="0.25">
      <c r="A204" s="3">
        <v>42309</v>
      </c>
      <c r="B204">
        <v>-7.1013747659618397E-3</v>
      </c>
      <c r="C204">
        <f t="shared" si="9"/>
        <v>-8.4056146167936704E-3</v>
      </c>
      <c r="D204" t="b">
        <f t="shared" si="10"/>
        <v>0</v>
      </c>
      <c r="E204">
        <v>0</v>
      </c>
      <c r="F204" t="b">
        <f t="shared" si="11"/>
        <v>0</v>
      </c>
    </row>
    <row r="205" spans="1:6" x14ac:dyDescent="0.25">
      <c r="A205" s="3">
        <v>42339</v>
      </c>
      <c r="B205">
        <v>-5.9776150861159403E-3</v>
      </c>
      <c r="C205">
        <f t="shared" si="9"/>
        <v>1.1237596798458994E-3</v>
      </c>
      <c r="D205" t="b">
        <f t="shared" si="10"/>
        <v>1</v>
      </c>
      <c r="E205">
        <v>0</v>
      </c>
      <c r="F205" t="b">
        <f t="shared" si="11"/>
        <v>0</v>
      </c>
    </row>
    <row r="206" spans="1:6" x14ac:dyDescent="0.25">
      <c r="A206" s="3">
        <v>42370</v>
      </c>
      <c r="B206">
        <v>-6.0322354168116403E-3</v>
      </c>
      <c r="C206">
        <f t="shared" si="9"/>
        <v>-5.4620330695700006E-5</v>
      </c>
      <c r="D206" t="b">
        <f t="shared" si="10"/>
        <v>0</v>
      </c>
      <c r="E206">
        <v>0</v>
      </c>
      <c r="F206" t="b">
        <f t="shared" si="11"/>
        <v>0</v>
      </c>
    </row>
    <row r="207" spans="1:6" x14ac:dyDescent="0.25">
      <c r="A207" s="3">
        <v>42401</v>
      </c>
      <c r="B207">
        <v>-2.6319486682240302E-3</v>
      </c>
      <c r="C207">
        <f t="shared" si="9"/>
        <v>3.4002867485876101E-3</v>
      </c>
      <c r="D207" t="b">
        <f t="shared" si="10"/>
        <v>1</v>
      </c>
      <c r="E207">
        <v>0</v>
      </c>
      <c r="F207" t="b">
        <f t="shared" si="11"/>
        <v>0</v>
      </c>
    </row>
    <row r="208" spans="1:6" x14ac:dyDescent="0.25">
      <c r="A208" s="3">
        <v>42430</v>
      </c>
      <c r="B208">
        <v>-9.1686041438388006E-3</v>
      </c>
      <c r="C208">
        <f t="shared" si="9"/>
        <v>-6.5366554756147704E-3</v>
      </c>
      <c r="D208" t="b">
        <f t="shared" si="10"/>
        <v>0</v>
      </c>
      <c r="E208">
        <v>0.32500000000000018</v>
      </c>
      <c r="F208" t="b">
        <f t="shared" si="11"/>
        <v>1</v>
      </c>
    </row>
    <row r="209" spans="1:6" x14ac:dyDescent="0.25">
      <c r="A209" s="3">
        <v>42461</v>
      </c>
      <c r="B209">
        <v>-9.9552385845918002E-3</v>
      </c>
      <c r="C209">
        <f t="shared" si="9"/>
        <v>-7.8663444075299967E-4</v>
      </c>
      <c r="D209" t="b">
        <f t="shared" si="10"/>
        <v>0</v>
      </c>
      <c r="E209">
        <v>0</v>
      </c>
      <c r="F209" t="b">
        <f t="shared" si="11"/>
        <v>0</v>
      </c>
    </row>
    <row r="210" spans="1:6" x14ac:dyDescent="0.25">
      <c r="A210" s="3">
        <v>42491</v>
      </c>
      <c r="B210">
        <v>-8.1635814976648308E-3</v>
      </c>
      <c r="C210">
        <f t="shared" si="9"/>
        <v>1.7916570869269694E-3</v>
      </c>
      <c r="D210" t="b">
        <f t="shared" si="10"/>
        <v>1</v>
      </c>
      <c r="E210">
        <v>0</v>
      </c>
      <c r="F210" t="b">
        <f t="shared" si="11"/>
        <v>0</v>
      </c>
    </row>
    <row r="211" spans="1:6" x14ac:dyDescent="0.25">
      <c r="A211" s="3">
        <v>42522</v>
      </c>
      <c r="B211">
        <v>-5.6411803607181498E-3</v>
      </c>
      <c r="C211">
        <f t="shared" si="9"/>
        <v>2.5224011369466811E-3</v>
      </c>
      <c r="D211" t="b">
        <f t="shared" si="10"/>
        <v>1</v>
      </c>
      <c r="E211">
        <v>0</v>
      </c>
      <c r="F211" t="b">
        <f t="shared" si="11"/>
        <v>0</v>
      </c>
    </row>
    <row r="212" spans="1:6" x14ac:dyDescent="0.25">
      <c r="A212" s="3">
        <v>42552</v>
      </c>
      <c r="B212">
        <v>-8.2895184122442293E-3</v>
      </c>
      <c r="C212">
        <f t="shared" si="9"/>
        <v>-2.6483380515260795E-3</v>
      </c>
      <c r="D212" t="b">
        <f t="shared" si="10"/>
        <v>0</v>
      </c>
      <c r="E212">
        <v>0.25</v>
      </c>
      <c r="F212" t="b">
        <f t="shared" si="11"/>
        <v>1</v>
      </c>
    </row>
    <row r="213" spans="1:6" x14ac:dyDescent="0.25">
      <c r="A213" s="3">
        <v>42583</v>
      </c>
      <c r="B213">
        <v>-6.7176879282531098E-3</v>
      </c>
      <c r="C213">
        <f t="shared" si="9"/>
        <v>1.5718304839911195E-3</v>
      </c>
      <c r="D213" t="b">
        <f t="shared" si="10"/>
        <v>1</v>
      </c>
      <c r="E213">
        <v>0</v>
      </c>
      <c r="F213" t="b">
        <f t="shared" si="11"/>
        <v>0</v>
      </c>
    </row>
    <row r="214" spans="1:6" x14ac:dyDescent="0.25">
      <c r="A214" s="3">
        <v>42614</v>
      </c>
      <c r="B214">
        <v>-1.9364349697141799E-3</v>
      </c>
      <c r="C214">
        <f t="shared" si="9"/>
        <v>4.7812529585389302E-3</v>
      </c>
      <c r="D214" t="b">
        <f t="shared" si="10"/>
        <v>1</v>
      </c>
      <c r="E214">
        <v>0</v>
      </c>
      <c r="F214" t="b">
        <f t="shared" si="11"/>
        <v>0</v>
      </c>
    </row>
    <row r="215" spans="1:6" x14ac:dyDescent="0.25">
      <c r="A215" s="3">
        <v>42644</v>
      </c>
      <c r="B215">
        <v>-9.65439276855662E-4</v>
      </c>
      <c r="C215">
        <f t="shared" si="9"/>
        <v>9.7099569285851795E-4</v>
      </c>
      <c r="D215" t="b">
        <f t="shared" si="10"/>
        <v>1</v>
      </c>
      <c r="E215">
        <v>0</v>
      </c>
      <c r="F215" t="b">
        <f t="shared" si="11"/>
        <v>0</v>
      </c>
    </row>
    <row r="216" spans="1:6" x14ac:dyDescent="0.25">
      <c r="A216" s="3">
        <v>42675</v>
      </c>
      <c r="B216" s="2">
        <v>1.28544583306578E-5</v>
      </c>
      <c r="C216">
        <f t="shared" si="9"/>
        <v>9.782937351863199E-4</v>
      </c>
      <c r="D216" t="b">
        <f t="shared" si="10"/>
        <v>1</v>
      </c>
      <c r="E216">
        <v>0</v>
      </c>
      <c r="F216" t="b">
        <f t="shared" si="11"/>
        <v>0</v>
      </c>
    </row>
    <row r="217" spans="1:6" x14ac:dyDescent="0.25">
      <c r="A217" s="3">
        <v>42705</v>
      </c>
      <c r="B217">
        <v>3.42605236514171E-3</v>
      </c>
      <c r="C217">
        <f t="shared" si="9"/>
        <v>3.4131979068110522E-3</v>
      </c>
      <c r="D217" t="b">
        <f t="shared" si="10"/>
        <v>1</v>
      </c>
      <c r="E217">
        <v>0</v>
      </c>
      <c r="F217" t="b">
        <f t="shared" si="11"/>
        <v>0</v>
      </c>
    </row>
    <row r="218" spans="1:6" x14ac:dyDescent="0.25">
      <c r="A218" s="3">
        <v>42736</v>
      </c>
      <c r="B218">
        <v>4.9785596054263701E-3</v>
      </c>
      <c r="C218">
        <f t="shared" si="9"/>
        <v>1.5525072402846601E-3</v>
      </c>
      <c r="D218" t="b">
        <f t="shared" si="10"/>
        <v>1</v>
      </c>
      <c r="E218">
        <v>0</v>
      </c>
      <c r="F218" t="b">
        <f t="shared" si="11"/>
        <v>0</v>
      </c>
    </row>
    <row r="219" spans="1:6" x14ac:dyDescent="0.25">
      <c r="A219" s="3">
        <v>42767</v>
      </c>
      <c r="B219">
        <v>-1.07298868489725E-3</v>
      </c>
      <c r="C219">
        <f t="shared" si="9"/>
        <v>-6.0515482903236197E-3</v>
      </c>
      <c r="D219" t="b">
        <f t="shared" si="10"/>
        <v>0</v>
      </c>
      <c r="E219">
        <v>6.578947368421062E-2</v>
      </c>
      <c r="F219" t="b">
        <f t="shared" si="11"/>
        <v>1</v>
      </c>
    </row>
    <row r="220" spans="1:6" x14ac:dyDescent="0.25">
      <c r="A220" s="3">
        <v>42795</v>
      </c>
      <c r="B220">
        <v>1.00444933601107E-3</v>
      </c>
      <c r="C220">
        <f t="shared" si="9"/>
        <v>2.0774380209083202E-3</v>
      </c>
      <c r="D220" t="b">
        <f t="shared" si="10"/>
        <v>1</v>
      </c>
      <c r="E220">
        <v>0</v>
      </c>
      <c r="F220" t="b">
        <f t="shared" si="11"/>
        <v>0</v>
      </c>
    </row>
    <row r="221" spans="1:6" x14ac:dyDescent="0.25">
      <c r="A221" s="3">
        <v>42826</v>
      </c>
      <c r="B221">
        <v>-4.5624041181824298E-4</v>
      </c>
      <c r="C221">
        <f t="shared" si="9"/>
        <v>-1.4606897478293131E-3</v>
      </c>
      <c r="D221" t="b">
        <f t="shared" si="10"/>
        <v>0</v>
      </c>
      <c r="E221">
        <v>0</v>
      </c>
      <c r="F221" t="b">
        <f t="shared" si="11"/>
        <v>0</v>
      </c>
    </row>
    <row r="222" spans="1:6" x14ac:dyDescent="0.25">
      <c r="A222" s="3">
        <v>42856</v>
      </c>
      <c r="B222">
        <v>-3.6379402448680799E-3</v>
      </c>
      <c r="C222">
        <f t="shared" si="9"/>
        <v>-3.1816998330498371E-3</v>
      </c>
      <c r="D222" t="b">
        <f t="shared" si="10"/>
        <v>0</v>
      </c>
      <c r="E222">
        <v>0.11363636363636331</v>
      </c>
      <c r="F222" t="b">
        <f t="shared" si="11"/>
        <v>1</v>
      </c>
    </row>
    <row r="223" spans="1:6" x14ac:dyDescent="0.25">
      <c r="A223" s="3">
        <v>42887</v>
      </c>
      <c r="B223">
        <v>4.9977521303379302E-4</v>
      </c>
      <c r="C223">
        <f t="shared" si="9"/>
        <v>4.1377154579018728E-3</v>
      </c>
      <c r="D223" t="b">
        <f t="shared" si="10"/>
        <v>1</v>
      </c>
      <c r="E223">
        <v>0</v>
      </c>
      <c r="F223" t="b">
        <f t="shared" si="11"/>
        <v>0</v>
      </c>
    </row>
    <row r="224" spans="1:6" x14ac:dyDescent="0.25">
      <c r="A224" s="3">
        <v>42917</v>
      </c>
      <c r="B224">
        <v>-9.2807512770143302E-3</v>
      </c>
      <c r="C224">
        <f t="shared" si="9"/>
        <v>-9.7805264900481231E-3</v>
      </c>
      <c r="D224" t="b">
        <f t="shared" si="10"/>
        <v>0</v>
      </c>
      <c r="E224">
        <v>0</v>
      </c>
      <c r="F224" t="b">
        <f t="shared" si="11"/>
        <v>0</v>
      </c>
    </row>
    <row r="225" spans="1:6" x14ac:dyDescent="0.25">
      <c r="A225" s="3">
        <v>42948</v>
      </c>
      <c r="B225">
        <v>4.6680829734313501E-4</v>
      </c>
      <c r="C225">
        <f t="shared" si="9"/>
        <v>9.7475595743574655E-3</v>
      </c>
      <c r="D225" t="b">
        <f t="shared" si="10"/>
        <v>1</v>
      </c>
      <c r="E225">
        <v>0</v>
      </c>
      <c r="F225" t="b">
        <f t="shared" si="11"/>
        <v>0</v>
      </c>
    </row>
    <row r="226" spans="1:6" x14ac:dyDescent="0.25">
      <c r="A226" s="3">
        <v>42979</v>
      </c>
      <c r="B226">
        <v>-1.23778697560519E-2</v>
      </c>
      <c r="C226">
        <f t="shared" si="9"/>
        <v>-1.2844678053395035E-2</v>
      </c>
      <c r="D226" t="b">
        <f t="shared" si="10"/>
        <v>0</v>
      </c>
      <c r="E226">
        <v>0</v>
      </c>
      <c r="F226" t="b">
        <f t="shared" si="11"/>
        <v>0</v>
      </c>
    </row>
    <row r="227" spans="1:6" x14ac:dyDescent="0.25">
      <c r="A227" s="3">
        <v>43009</v>
      </c>
      <c r="B227">
        <v>3.88490595552682E-4</v>
      </c>
      <c r="C227">
        <f t="shared" si="9"/>
        <v>1.2766360351604581E-2</v>
      </c>
      <c r="D227" t="b">
        <f t="shared" si="10"/>
        <v>1</v>
      </c>
      <c r="E227">
        <v>0</v>
      </c>
      <c r="F227" t="b">
        <f t="shared" si="11"/>
        <v>0</v>
      </c>
    </row>
    <row r="228" spans="1:6" x14ac:dyDescent="0.25">
      <c r="A228" s="3">
        <v>43040</v>
      </c>
      <c r="B228">
        <v>7.2250944699359101E-3</v>
      </c>
      <c r="C228">
        <f t="shared" si="9"/>
        <v>6.8366038743832283E-3</v>
      </c>
      <c r="D228" t="b">
        <f t="shared" si="10"/>
        <v>1</v>
      </c>
      <c r="E228">
        <v>0</v>
      </c>
      <c r="F228" t="b">
        <f t="shared" si="11"/>
        <v>0</v>
      </c>
    </row>
    <row r="229" spans="1:6" x14ac:dyDescent="0.25">
      <c r="A229" s="3">
        <v>43070</v>
      </c>
      <c r="B229">
        <v>1.31327538904005E-2</v>
      </c>
      <c r="C229">
        <f t="shared" si="9"/>
        <v>5.9076594204645902E-3</v>
      </c>
      <c r="D229" t="b">
        <f t="shared" si="10"/>
        <v>1</v>
      </c>
      <c r="E229">
        <v>0</v>
      </c>
      <c r="F229" t="b">
        <f t="shared" si="11"/>
        <v>0</v>
      </c>
    </row>
    <row r="230" spans="1:6" x14ac:dyDescent="0.25">
      <c r="A230" s="3">
        <v>43101</v>
      </c>
      <c r="B230">
        <v>5.7415175351760396E-3</v>
      </c>
      <c r="C230">
        <f t="shared" si="9"/>
        <v>-7.3912363552244608E-3</v>
      </c>
      <c r="D230" t="b">
        <f t="shared" si="10"/>
        <v>0</v>
      </c>
      <c r="E230">
        <v>0</v>
      </c>
      <c r="F230" t="b">
        <f t="shared" si="11"/>
        <v>0</v>
      </c>
    </row>
    <row r="231" spans="1:6" x14ac:dyDescent="0.25">
      <c r="A231" s="3">
        <v>43132</v>
      </c>
      <c r="B231">
        <v>1.07058212360416E-2</v>
      </c>
      <c r="C231">
        <f t="shared" si="9"/>
        <v>4.9643037008655607E-3</v>
      </c>
      <c r="D231" t="b">
        <f t="shared" si="10"/>
        <v>1</v>
      </c>
      <c r="E231">
        <v>0</v>
      </c>
      <c r="F231" t="b">
        <f t="shared" si="11"/>
        <v>0</v>
      </c>
    </row>
    <row r="232" spans="1:6" x14ac:dyDescent="0.25">
      <c r="A232" s="3">
        <v>43160</v>
      </c>
      <c r="B232">
        <v>1.7482072090571101E-2</v>
      </c>
      <c r="C232">
        <f t="shared" si="9"/>
        <v>6.7762508545295003E-3</v>
      </c>
      <c r="D232" t="b">
        <f t="shared" si="10"/>
        <v>1</v>
      </c>
      <c r="E232">
        <v>0</v>
      </c>
      <c r="F232" t="b">
        <f t="shared" si="11"/>
        <v>0</v>
      </c>
    </row>
    <row r="233" spans="1:6" x14ac:dyDescent="0.25">
      <c r="A233" s="3">
        <v>43191</v>
      </c>
      <c r="B233">
        <v>8.5203042491413007E-3</v>
      </c>
      <c r="C233">
        <f t="shared" si="9"/>
        <v>-8.9617678414297998E-3</v>
      </c>
      <c r="D233" t="b">
        <f t="shared" si="10"/>
        <v>0</v>
      </c>
      <c r="E233">
        <v>0</v>
      </c>
      <c r="F233" t="b">
        <f t="shared" si="11"/>
        <v>0</v>
      </c>
    </row>
    <row r="234" spans="1:6" x14ac:dyDescent="0.25">
      <c r="A234" s="3">
        <v>43221</v>
      </c>
      <c r="B234">
        <v>1.62259092090959E-2</v>
      </c>
      <c r="C234">
        <f t="shared" si="9"/>
        <v>7.7056049599545998E-3</v>
      </c>
      <c r="D234" t="b">
        <f t="shared" si="10"/>
        <v>1</v>
      </c>
      <c r="E234">
        <v>0</v>
      </c>
      <c r="F234" t="b">
        <f t="shared" si="11"/>
        <v>0</v>
      </c>
    </row>
    <row r="235" spans="1:6" x14ac:dyDescent="0.25">
      <c r="A235" s="3">
        <v>43252</v>
      </c>
      <c r="B235">
        <v>1.4088375707067301E-2</v>
      </c>
      <c r="C235">
        <f t="shared" si="9"/>
        <v>-2.1375335020285997E-3</v>
      </c>
      <c r="D235" t="b">
        <f t="shared" si="10"/>
        <v>0</v>
      </c>
      <c r="E235">
        <v>0</v>
      </c>
      <c r="F235" t="b">
        <f t="shared" si="11"/>
        <v>0</v>
      </c>
    </row>
    <row r="236" spans="1:6" x14ac:dyDescent="0.25">
      <c r="A236" s="3">
        <v>43282</v>
      </c>
      <c r="B236">
        <v>1.81380359461558E-2</v>
      </c>
      <c r="C236">
        <f t="shared" si="9"/>
        <v>4.0496602390884991E-3</v>
      </c>
      <c r="D236" t="b">
        <f t="shared" si="10"/>
        <v>1</v>
      </c>
      <c r="E236">
        <v>0</v>
      </c>
      <c r="F236" t="b">
        <f t="shared" si="11"/>
        <v>0</v>
      </c>
    </row>
    <row r="237" spans="1:6" x14ac:dyDescent="0.25">
      <c r="A237" s="3">
        <v>43313</v>
      </c>
      <c r="B237">
        <v>2.1587947492244901E-2</v>
      </c>
      <c r="C237">
        <f t="shared" si="9"/>
        <v>3.449911546089101E-3</v>
      </c>
      <c r="D237" t="b">
        <f t="shared" si="10"/>
        <v>1</v>
      </c>
      <c r="E237">
        <v>0</v>
      </c>
      <c r="F237" t="b">
        <f t="shared" si="11"/>
        <v>0</v>
      </c>
    </row>
    <row r="238" spans="1:6" x14ac:dyDescent="0.25">
      <c r="A238" s="3">
        <v>43344</v>
      </c>
      <c r="B238">
        <v>2.32963948483818E-2</v>
      </c>
      <c r="C238">
        <f t="shared" si="9"/>
        <v>1.7084473561368996E-3</v>
      </c>
      <c r="D238" t="b">
        <f t="shared" si="10"/>
        <v>1</v>
      </c>
      <c r="E238">
        <v>0</v>
      </c>
      <c r="F238" t="b">
        <f t="shared" si="11"/>
        <v>0</v>
      </c>
    </row>
    <row r="239" spans="1:6" x14ac:dyDescent="0.25">
      <c r="A239" s="3">
        <v>43374</v>
      </c>
      <c r="B239">
        <v>2.3009410606055901E-2</v>
      </c>
      <c r="C239">
        <f t="shared" si="9"/>
        <v>-2.8698424232589947E-4</v>
      </c>
      <c r="D239" t="b">
        <f t="shared" si="10"/>
        <v>0</v>
      </c>
      <c r="E239">
        <v>0</v>
      </c>
      <c r="F239" t="b">
        <f t="shared" si="11"/>
        <v>0</v>
      </c>
    </row>
    <row r="240" spans="1:6" x14ac:dyDescent="0.25">
      <c r="A240" s="3">
        <v>43405</v>
      </c>
      <c r="B240">
        <v>1.8849668146319901E-2</v>
      </c>
      <c r="C240">
        <f t="shared" si="9"/>
        <v>-4.1597424597360003E-3</v>
      </c>
      <c r="D240" t="b">
        <f t="shared" si="10"/>
        <v>0</v>
      </c>
      <c r="E240">
        <v>0</v>
      </c>
      <c r="F240" t="b">
        <f t="shared" si="11"/>
        <v>0</v>
      </c>
    </row>
    <row r="241" spans="1:6" x14ac:dyDescent="0.25">
      <c r="A241" s="3">
        <v>43435</v>
      </c>
      <c r="B241">
        <v>1.5968620484559701E-2</v>
      </c>
      <c r="C241">
        <f t="shared" si="9"/>
        <v>-2.8810476617601999E-3</v>
      </c>
      <c r="D241" t="b">
        <f t="shared" si="10"/>
        <v>0</v>
      </c>
      <c r="E241">
        <v>0</v>
      </c>
      <c r="F241" t="b">
        <f t="shared" si="11"/>
        <v>0</v>
      </c>
    </row>
    <row r="242" spans="1:6" x14ac:dyDescent="0.25">
      <c r="A242" s="3">
        <v>43466</v>
      </c>
      <c r="B242">
        <v>2.2218905692460201E-2</v>
      </c>
      <c r="C242">
        <f t="shared" si="9"/>
        <v>6.2502852079005002E-3</v>
      </c>
      <c r="D242" t="b">
        <f t="shared" si="10"/>
        <v>1</v>
      </c>
      <c r="E242">
        <v>0</v>
      </c>
      <c r="F242" t="b">
        <f t="shared" si="11"/>
        <v>0</v>
      </c>
    </row>
    <row r="243" spans="1:6" x14ac:dyDescent="0.25">
      <c r="A243" s="3">
        <v>43497</v>
      </c>
      <c r="B243">
        <v>2.6036817393144701E-2</v>
      </c>
      <c r="C243">
        <f t="shared" si="9"/>
        <v>3.8179117006845002E-3</v>
      </c>
      <c r="D243" t="b">
        <f t="shared" si="10"/>
        <v>1</v>
      </c>
      <c r="E243">
        <v>0</v>
      </c>
      <c r="F243" t="b">
        <f t="shared" si="11"/>
        <v>0</v>
      </c>
    </row>
    <row r="244" spans="1:6" x14ac:dyDescent="0.25">
      <c r="A244" s="3">
        <v>43525</v>
      </c>
      <c r="B244">
        <v>1.5741663917614401E-2</v>
      </c>
      <c r="C244">
        <f t="shared" si="9"/>
        <v>-1.02951534755303E-2</v>
      </c>
      <c r="D244" t="b">
        <f t="shared" si="10"/>
        <v>0</v>
      </c>
      <c r="E244">
        <v>0</v>
      </c>
      <c r="F244" t="b">
        <f t="shared" si="11"/>
        <v>0</v>
      </c>
    </row>
    <row r="245" spans="1:6" x14ac:dyDescent="0.25">
      <c r="A245" s="3">
        <v>43556</v>
      </c>
      <c r="B245">
        <v>2.1646601197850199E-2</v>
      </c>
      <c r="C245">
        <f t="shared" si="9"/>
        <v>5.9049372802357988E-3</v>
      </c>
      <c r="D245" t="b">
        <f t="shared" si="10"/>
        <v>1</v>
      </c>
      <c r="E245">
        <v>0</v>
      </c>
      <c r="F245" t="b">
        <f t="shared" si="11"/>
        <v>0</v>
      </c>
    </row>
    <row r="246" spans="1:6" x14ac:dyDescent="0.25">
      <c r="A246" s="3">
        <v>43586</v>
      </c>
      <c r="B246">
        <v>1.9050762430937101E-2</v>
      </c>
      <c r="C246">
        <f t="shared" si="9"/>
        <v>-2.5958387669130986E-3</v>
      </c>
      <c r="D246" t="b">
        <f t="shared" si="10"/>
        <v>0</v>
      </c>
      <c r="E246">
        <v>0</v>
      </c>
      <c r="F246" t="b">
        <f t="shared" si="11"/>
        <v>0</v>
      </c>
    </row>
    <row r="247" spans="1:6" x14ac:dyDescent="0.25">
      <c r="A247" s="3">
        <v>43617</v>
      </c>
      <c r="B247">
        <v>2.5731124238675698E-2</v>
      </c>
      <c r="C247">
        <f t="shared" si="9"/>
        <v>6.6803618077385975E-3</v>
      </c>
      <c r="D247" t="b">
        <f t="shared" si="10"/>
        <v>1</v>
      </c>
      <c r="E247">
        <v>0</v>
      </c>
      <c r="F247" t="b">
        <f t="shared" si="11"/>
        <v>0</v>
      </c>
    </row>
    <row r="248" spans="1:6" x14ac:dyDescent="0.25">
      <c r="A248" s="3">
        <v>43647</v>
      </c>
      <c r="B248">
        <v>2.5323722974551498E-2</v>
      </c>
      <c r="C248">
        <f t="shared" si="9"/>
        <v>-4.0740126412419989E-4</v>
      </c>
      <c r="D248" t="b">
        <f t="shared" si="10"/>
        <v>0</v>
      </c>
      <c r="E248">
        <v>0</v>
      </c>
      <c r="F248" t="b">
        <f t="shared" si="11"/>
        <v>0</v>
      </c>
    </row>
    <row r="249" spans="1:6" x14ac:dyDescent="0.25">
      <c r="A249" s="3">
        <v>43678</v>
      </c>
      <c r="B249">
        <v>2.8096673116575498E-2</v>
      </c>
      <c r="C249">
        <f t="shared" si="9"/>
        <v>2.7729501420239999E-3</v>
      </c>
      <c r="D249" t="b">
        <f t="shared" si="10"/>
        <v>1</v>
      </c>
      <c r="E249">
        <v>-0.13636363636363669</v>
      </c>
      <c r="F249" t="b">
        <f t="shared" si="11"/>
        <v>0</v>
      </c>
    </row>
    <row r="250" spans="1:6" x14ac:dyDescent="0.25">
      <c r="A250" s="3">
        <v>43709</v>
      </c>
      <c r="B250">
        <v>3.4145502545694498E-2</v>
      </c>
      <c r="C250">
        <f t="shared" si="9"/>
        <v>6.0488294291189994E-3</v>
      </c>
      <c r="D250" t="b">
        <f t="shared" si="10"/>
        <v>1</v>
      </c>
      <c r="E250">
        <v>-0.21250000000000036</v>
      </c>
      <c r="F250" t="b">
        <f t="shared" si="11"/>
        <v>0</v>
      </c>
    </row>
    <row r="251" spans="1:6" x14ac:dyDescent="0.25">
      <c r="A251" s="3">
        <v>43739</v>
      </c>
      <c r="B251">
        <v>2.5645792345558902E-2</v>
      </c>
      <c r="C251">
        <f t="shared" si="9"/>
        <v>-8.4997102001355962E-3</v>
      </c>
      <c r="D251" t="b">
        <f t="shared" si="10"/>
        <v>0</v>
      </c>
      <c r="E251">
        <v>0</v>
      </c>
      <c r="F251" t="b">
        <f t="shared" si="11"/>
        <v>0</v>
      </c>
    </row>
    <row r="252" spans="1:6" x14ac:dyDescent="0.25">
      <c r="A252" s="3">
        <v>43770</v>
      </c>
      <c r="B252">
        <v>2.9354542955307001E-2</v>
      </c>
      <c r="C252">
        <f t="shared" si="9"/>
        <v>3.7087506097480995E-3</v>
      </c>
      <c r="D252" t="b">
        <f t="shared" si="10"/>
        <v>1</v>
      </c>
      <c r="E252">
        <v>0</v>
      </c>
      <c r="F252" t="b">
        <f t="shared" si="11"/>
        <v>0</v>
      </c>
    </row>
    <row r="253" spans="1:6" x14ac:dyDescent="0.25">
      <c r="A253" s="3">
        <v>43800</v>
      </c>
      <c r="B253">
        <v>2.9186165515739899E-2</v>
      </c>
      <c r="C253">
        <f t="shared" si="9"/>
        <v>-1.6837743956710227E-4</v>
      </c>
      <c r="D253" t="b">
        <f t="shared" si="10"/>
        <v>0</v>
      </c>
      <c r="E253">
        <v>0</v>
      </c>
      <c r="F253" t="b">
        <f t="shared" si="11"/>
        <v>0</v>
      </c>
    </row>
    <row r="254" spans="1:6" x14ac:dyDescent="0.25">
      <c r="A254" s="3">
        <v>43831</v>
      </c>
      <c r="B254">
        <v>3.90538787025934E-2</v>
      </c>
      <c r="C254">
        <f t="shared" si="9"/>
        <v>9.8677131868535016E-3</v>
      </c>
      <c r="D254" t="b">
        <f t="shared" si="10"/>
        <v>1</v>
      </c>
      <c r="E254">
        <v>0</v>
      </c>
      <c r="F254" t="b">
        <f t="shared" si="11"/>
        <v>0</v>
      </c>
    </row>
    <row r="255" spans="1:6" x14ac:dyDescent="0.25">
      <c r="A255" s="3">
        <v>43862</v>
      </c>
      <c r="B255">
        <v>3.02974548258002E-2</v>
      </c>
      <c r="C255">
        <f t="shared" si="9"/>
        <v>-8.7564238767931998E-3</v>
      </c>
      <c r="D255" t="b">
        <f t="shared" si="10"/>
        <v>0</v>
      </c>
      <c r="E255">
        <v>0</v>
      </c>
      <c r="F255" t="b">
        <f t="shared" si="11"/>
        <v>0</v>
      </c>
    </row>
    <row r="256" spans="1:6" x14ac:dyDescent="0.25">
      <c r="A256" s="3">
        <v>43891</v>
      </c>
      <c r="B256">
        <v>-1.8642906822492499E-3</v>
      </c>
      <c r="C256">
        <f t="shared" si="9"/>
        <v>-3.2161745508049448E-2</v>
      </c>
      <c r="D256" t="b">
        <f t="shared" si="10"/>
        <v>0</v>
      </c>
      <c r="E256">
        <v>-0.19047619047619069</v>
      </c>
      <c r="F256" t="b">
        <f t="shared" si="11"/>
        <v>0</v>
      </c>
    </row>
    <row r="257" spans="1:6" x14ac:dyDescent="0.25">
      <c r="A257" s="3">
        <v>43922</v>
      </c>
      <c r="B257">
        <v>-0.209971024257747</v>
      </c>
      <c r="C257">
        <f t="shared" si="9"/>
        <v>-0.20810673357549775</v>
      </c>
      <c r="D257" t="b">
        <f t="shared" si="10"/>
        <v>0</v>
      </c>
      <c r="E257">
        <v>-0.70000000000000018</v>
      </c>
      <c r="F257" t="b">
        <f t="shared" si="11"/>
        <v>0</v>
      </c>
    </row>
    <row r="258" spans="1:6" x14ac:dyDescent="0.25">
      <c r="A258" s="3">
        <v>43952</v>
      </c>
      <c r="B258">
        <v>-0.227999907800019</v>
      </c>
      <c r="C258">
        <f t="shared" si="9"/>
        <v>-1.8028883542272001E-2</v>
      </c>
      <c r="D258" t="b">
        <f t="shared" si="10"/>
        <v>0</v>
      </c>
      <c r="E258">
        <v>-0.39999999999999947</v>
      </c>
      <c r="F258" t="b">
        <f t="shared" si="11"/>
        <v>0</v>
      </c>
    </row>
    <row r="259" spans="1:6" x14ac:dyDescent="0.25">
      <c r="A259" s="3">
        <v>43983</v>
      </c>
      <c r="B259">
        <v>-0.11540280871703699</v>
      </c>
      <c r="C259">
        <f t="shared" si="9"/>
        <v>0.112597099082982</v>
      </c>
      <c r="D259" t="b">
        <f t="shared" si="10"/>
        <v>1</v>
      </c>
      <c r="E259">
        <v>0</v>
      </c>
      <c r="F259" t="b">
        <f t="shared" si="11"/>
        <v>0</v>
      </c>
    </row>
    <row r="260" spans="1:6" x14ac:dyDescent="0.25">
      <c r="A260" s="3">
        <v>44013</v>
      </c>
      <c r="B260">
        <v>-6.5685474555470705E-2</v>
      </c>
      <c r="C260">
        <f t="shared" ref="C260:C323" si="12">B260-B259</f>
        <v>4.971733416156629E-2</v>
      </c>
      <c r="D260" t="b">
        <f t="shared" ref="D260:D323" si="13">IF(C260&gt;0,TRUE)</f>
        <v>1</v>
      </c>
      <c r="E260">
        <v>0</v>
      </c>
      <c r="F260" t="b">
        <f t="shared" ref="F260:F323" si="14">IF(E260&gt;0, TRUE)</f>
        <v>0</v>
      </c>
    </row>
    <row r="261" spans="1:6" x14ac:dyDescent="0.25">
      <c r="A261" s="3">
        <v>44044</v>
      </c>
      <c r="B261">
        <v>-3.6683404599767003E-2</v>
      </c>
      <c r="C261">
        <f t="shared" si="12"/>
        <v>2.9002069955703702E-2</v>
      </c>
      <c r="D261" t="b">
        <f t="shared" si="13"/>
        <v>1</v>
      </c>
      <c r="E261">
        <v>0</v>
      </c>
      <c r="F261" t="b">
        <f t="shared" si="14"/>
        <v>0</v>
      </c>
    </row>
    <row r="262" spans="1:6" x14ac:dyDescent="0.25">
      <c r="A262" s="3">
        <v>44075</v>
      </c>
      <c r="B262">
        <v>-1.00888701625905E-2</v>
      </c>
      <c r="C262">
        <f t="shared" si="12"/>
        <v>2.6594534437176503E-2</v>
      </c>
      <c r="D262" t="b">
        <f t="shared" si="13"/>
        <v>1</v>
      </c>
      <c r="E262">
        <v>0</v>
      </c>
      <c r="F262" t="b">
        <f t="shared" si="14"/>
        <v>0</v>
      </c>
    </row>
    <row r="263" spans="1:6" x14ac:dyDescent="0.25">
      <c r="A263" s="3">
        <v>44105</v>
      </c>
      <c r="B263">
        <v>1.1662741130802299E-4</v>
      </c>
      <c r="C263">
        <f t="shared" si="12"/>
        <v>1.0205497573898523E-2</v>
      </c>
      <c r="D263" t="b">
        <f t="shared" si="13"/>
        <v>1</v>
      </c>
      <c r="E263">
        <v>0</v>
      </c>
      <c r="F263" t="b">
        <f t="shared" si="14"/>
        <v>0</v>
      </c>
    </row>
    <row r="264" spans="1:6" x14ac:dyDescent="0.25">
      <c r="A264" s="3">
        <v>44136</v>
      </c>
      <c r="B264">
        <v>7.2206535033894096E-3</v>
      </c>
      <c r="C264">
        <f t="shared" si="12"/>
        <v>7.1040260920813871E-3</v>
      </c>
      <c r="D264" t="b">
        <f t="shared" si="13"/>
        <v>1</v>
      </c>
      <c r="E264">
        <v>0</v>
      </c>
      <c r="F264" t="b">
        <f t="shared" si="14"/>
        <v>0</v>
      </c>
    </row>
    <row r="265" spans="1:6" x14ac:dyDescent="0.25">
      <c r="A265" s="3">
        <v>44166</v>
      </c>
      <c r="B265">
        <v>3.4750778490924002E-3</v>
      </c>
      <c r="C265">
        <f t="shared" si="12"/>
        <v>-3.7455756542970095E-3</v>
      </c>
      <c r="D265" t="b">
        <f t="shared" si="13"/>
        <v>0</v>
      </c>
      <c r="E265">
        <v>0.13636363636363669</v>
      </c>
      <c r="F265" t="b">
        <f t="shared" si="14"/>
        <v>1</v>
      </c>
    </row>
    <row r="266" spans="1:6" x14ac:dyDescent="0.25">
      <c r="A266" s="3">
        <v>44197</v>
      </c>
      <c r="B266">
        <v>3.0270379596029099E-3</v>
      </c>
      <c r="C266">
        <f t="shared" si="12"/>
        <v>-4.4803988948949021E-4</v>
      </c>
      <c r="D266" t="b">
        <f t="shared" si="13"/>
        <v>0</v>
      </c>
      <c r="E266">
        <v>0</v>
      </c>
      <c r="F266" t="b">
        <f t="shared" si="14"/>
        <v>0</v>
      </c>
    </row>
    <row r="267" spans="1:6" x14ac:dyDescent="0.25">
      <c r="A267" s="3">
        <v>44228</v>
      </c>
      <c r="B267">
        <v>-4.5859545680162501E-3</v>
      </c>
      <c r="C267">
        <f t="shared" si="12"/>
        <v>-7.61299252761916E-3</v>
      </c>
      <c r="D267" t="b">
        <f t="shared" si="13"/>
        <v>0</v>
      </c>
      <c r="E267">
        <v>0</v>
      </c>
      <c r="F267" t="b">
        <f t="shared" si="14"/>
        <v>0</v>
      </c>
    </row>
    <row r="268" spans="1:6" x14ac:dyDescent="0.25">
      <c r="A268" s="3">
        <v>44256</v>
      </c>
      <c r="B268">
        <v>1.37899659605711E-2</v>
      </c>
      <c r="C268">
        <f t="shared" si="12"/>
        <v>1.8375920528587351E-2</v>
      </c>
      <c r="D268" t="b">
        <f t="shared" si="13"/>
        <v>1</v>
      </c>
      <c r="E268">
        <v>0</v>
      </c>
      <c r="F268" t="b">
        <f t="shared" si="14"/>
        <v>0</v>
      </c>
    </row>
    <row r="269" spans="1:6" x14ac:dyDescent="0.25">
      <c r="A269" s="3">
        <v>44287</v>
      </c>
      <c r="B269">
        <v>1.04042677499416E-2</v>
      </c>
      <c r="C269">
        <f t="shared" si="12"/>
        <v>-3.3856982106294994E-3</v>
      </c>
      <c r="D269" t="b">
        <f t="shared" si="13"/>
        <v>0</v>
      </c>
      <c r="E269">
        <v>0</v>
      </c>
      <c r="F269" t="b">
        <f t="shared" si="14"/>
        <v>0</v>
      </c>
    </row>
    <row r="270" spans="1:6" x14ac:dyDescent="0.25">
      <c r="A270" s="3">
        <v>44317</v>
      </c>
      <c r="B270">
        <v>8.8192214106808092E-3</v>
      </c>
      <c r="C270">
        <f t="shared" si="12"/>
        <v>-1.585046339260791E-3</v>
      </c>
      <c r="D270" t="b">
        <f t="shared" si="13"/>
        <v>0</v>
      </c>
      <c r="E270">
        <v>0</v>
      </c>
      <c r="F270" t="b">
        <f t="shared" si="14"/>
        <v>0</v>
      </c>
    </row>
    <row r="271" spans="1:6" x14ac:dyDescent="0.25">
      <c r="A271" s="3">
        <v>44348</v>
      </c>
      <c r="B271">
        <v>5.3770785944200501E-3</v>
      </c>
      <c r="C271">
        <f t="shared" si="12"/>
        <v>-3.4421428162607591E-3</v>
      </c>
      <c r="D271" t="b">
        <f t="shared" si="13"/>
        <v>0</v>
      </c>
      <c r="E271">
        <v>5.6818181818181657E-2</v>
      </c>
      <c r="F271" t="b">
        <f t="shared" si="14"/>
        <v>1</v>
      </c>
    </row>
    <row r="272" spans="1:6" x14ac:dyDescent="0.25">
      <c r="A272" s="3">
        <v>44378</v>
      </c>
      <c r="B272" s="2">
        <v>-4.9956324534861103E-5</v>
      </c>
      <c r="C272">
        <f t="shared" si="12"/>
        <v>-5.4270349189549111E-3</v>
      </c>
      <c r="D272" t="b">
        <f t="shared" si="13"/>
        <v>0</v>
      </c>
      <c r="E272">
        <v>0.25</v>
      </c>
      <c r="F272" t="b">
        <f t="shared" si="14"/>
        <v>1</v>
      </c>
    </row>
    <row r="273" spans="1:6" x14ac:dyDescent="0.25">
      <c r="A273" s="3">
        <v>44409</v>
      </c>
      <c r="B273">
        <v>-9.5411438758752406E-3</v>
      </c>
      <c r="C273">
        <f t="shared" si="12"/>
        <v>-9.4911875513403795E-3</v>
      </c>
      <c r="D273" t="b">
        <f t="shared" si="13"/>
        <v>0</v>
      </c>
      <c r="E273">
        <v>9.0909090909090828E-2</v>
      </c>
      <c r="F273" t="b">
        <f t="shared" si="14"/>
        <v>1</v>
      </c>
    </row>
    <row r="274" spans="1:6" x14ac:dyDescent="0.25">
      <c r="A274" s="3">
        <v>44440</v>
      </c>
      <c r="B274">
        <v>-1.40204824659387E-2</v>
      </c>
      <c r="C274">
        <f t="shared" si="12"/>
        <v>-4.4793385900634593E-3</v>
      </c>
      <c r="D274" t="b">
        <f t="shared" si="13"/>
        <v>0</v>
      </c>
      <c r="E274">
        <v>0</v>
      </c>
      <c r="F274" t="b">
        <f t="shared" si="14"/>
        <v>0</v>
      </c>
    </row>
    <row r="275" spans="1:6" x14ac:dyDescent="0.25">
      <c r="A275" s="3">
        <v>44470</v>
      </c>
      <c r="B275">
        <v>-9.2207598266797995E-3</v>
      </c>
      <c r="C275">
        <f t="shared" si="12"/>
        <v>4.7997226392589003E-3</v>
      </c>
      <c r="D275" t="b">
        <f t="shared" si="13"/>
        <v>1</v>
      </c>
      <c r="E275">
        <v>0</v>
      </c>
      <c r="F275" t="b">
        <f t="shared" si="14"/>
        <v>0</v>
      </c>
    </row>
    <row r="276" spans="1:6" x14ac:dyDescent="0.25">
      <c r="A276" s="3">
        <v>44501</v>
      </c>
      <c r="B276">
        <v>-5.0482360264014802E-3</v>
      </c>
      <c r="C276">
        <f t="shared" si="12"/>
        <v>4.1725238002783193E-3</v>
      </c>
      <c r="D276" t="b">
        <f t="shared" si="13"/>
        <v>1</v>
      </c>
      <c r="E276">
        <v>0</v>
      </c>
      <c r="F276" t="b">
        <f t="shared" si="14"/>
        <v>0</v>
      </c>
    </row>
    <row r="277" spans="1:6" x14ac:dyDescent="0.25">
      <c r="A277" s="3">
        <v>44531</v>
      </c>
      <c r="B277">
        <v>-2.0000021136885602E-3</v>
      </c>
      <c r="C277">
        <f t="shared" si="12"/>
        <v>3.04823391271292E-3</v>
      </c>
      <c r="D277" t="b">
        <f t="shared" si="13"/>
        <v>1</v>
      </c>
      <c r="E277">
        <v>0</v>
      </c>
      <c r="F277" t="b">
        <f t="shared" si="14"/>
        <v>0</v>
      </c>
    </row>
    <row r="278" spans="1:6" x14ac:dyDescent="0.25">
      <c r="A278" s="3">
        <v>44562</v>
      </c>
      <c r="B278">
        <v>2.0424708284290101E-3</v>
      </c>
      <c r="C278">
        <f t="shared" si="12"/>
        <v>4.0424729421175698E-3</v>
      </c>
      <c r="D278" t="b">
        <f t="shared" si="13"/>
        <v>1</v>
      </c>
      <c r="E278">
        <v>0</v>
      </c>
      <c r="F278" t="b">
        <f t="shared" si="14"/>
        <v>0</v>
      </c>
    </row>
    <row r="279" spans="1:6" x14ac:dyDescent="0.25">
      <c r="A279" s="3">
        <v>44593</v>
      </c>
      <c r="B279">
        <v>1.5185155019317199E-3</v>
      </c>
      <c r="C279">
        <f t="shared" si="12"/>
        <v>-5.2395532649729014E-4</v>
      </c>
      <c r="D279" t="b">
        <f t="shared" si="13"/>
        <v>0</v>
      </c>
      <c r="E279">
        <v>7.8947368421052211E-2</v>
      </c>
      <c r="F279" t="b">
        <f t="shared" si="14"/>
        <v>1</v>
      </c>
    </row>
    <row r="280" spans="1:6" x14ac:dyDescent="0.25">
      <c r="A280" s="3">
        <v>44621</v>
      </c>
      <c r="B280">
        <v>5.7508347032602103E-3</v>
      </c>
      <c r="C280">
        <f t="shared" si="12"/>
        <v>4.2323192013284903E-3</v>
      </c>
      <c r="D280" t="b">
        <f t="shared" si="13"/>
        <v>1</v>
      </c>
      <c r="E280">
        <v>0</v>
      </c>
      <c r="F280" t="b">
        <f t="shared" si="14"/>
        <v>0</v>
      </c>
    </row>
    <row r="281" spans="1:6" x14ac:dyDescent="0.25">
      <c r="A281" s="3">
        <v>44652</v>
      </c>
      <c r="B281">
        <v>9.7512584351386895E-3</v>
      </c>
      <c r="C281">
        <f t="shared" si="12"/>
        <v>4.0004237318784792E-3</v>
      </c>
      <c r="D281" t="b">
        <f t="shared" si="13"/>
        <v>1</v>
      </c>
      <c r="E281">
        <v>0</v>
      </c>
      <c r="F281" t="b">
        <f t="shared" si="14"/>
        <v>0</v>
      </c>
    </row>
    <row r="282" spans="1:6" x14ac:dyDescent="0.25">
      <c r="A282" s="3">
        <v>44682</v>
      </c>
      <c r="B282">
        <v>7.4190957133444301E-3</v>
      </c>
      <c r="C282">
        <f t="shared" si="12"/>
        <v>-2.3321627217942594E-3</v>
      </c>
      <c r="D282" t="b">
        <f t="shared" si="13"/>
        <v>0</v>
      </c>
      <c r="E282">
        <v>0</v>
      </c>
      <c r="F282" t="b">
        <f t="shared" si="14"/>
        <v>0</v>
      </c>
    </row>
    <row r="283" spans="1:6" x14ac:dyDescent="0.25">
      <c r="A283" s="3">
        <v>44713</v>
      </c>
      <c r="B283">
        <v>1.5024812318102901E-3</v>
      </c>
      <c r="C283">
        <f t="shared" si="12"/>
        <v>-5.9166144815341395E-3</v>
      </c>
      <c r="D283" t="b">
        <f t="shared" si="13"/>
        <v>0</v>
      </c>
      <c r="E283">
        <v>0</v>
      </c>
      <c r="F283" t="b">
        <f t="shared" si="14"/>
        <v>0</v>
      </c>
    </row>
    <row r="284" spans="1:6" x14ac:dyDescent="0.25">
      <c r="A284" s="3">
        <v>44743</v>
      </c>
      <c r="B284">
        <v>4.4290121843291201E-3</v>
      </c>
      <c r="C284">
        <f t="shared" si="12"/>
        <v>2.92653095251883E-3</v>
      </c>
      <c r="D284" t="b">
        <f t="shared" si="13"/>
        <v>1</v>
      </c>
      <c r="E284">
        <v>0</v>
      </c>
      <c r="F284" t="b">
        <f t="shared" si="14"/>
        <v>0</v>
      </c>
    </row>
    <row r="285" spans="1:6" x14ac:dyDescent="0.25">
      <c r="A285" s="3">
        <v>44774</v>
      </c>
      <c r="B285">
        <v>6.7464197605433497E-3</v>
      </c>
      <c r="C285">
        <f t="shared" si="12"/>
        <v>2.3174075762142296E-3</v>
      </c>
      <c r="D285" t="b">
        <f t="shared" si="13"/>
        <v>1</v>
      </c>
      <c r="E285">
        <v>0</v>
      </c>
      <c r="F285" t="b">
        <f t="shared" si="14"/>
        <v>0</v>
      </c>
    </row>
    <row r="286" spans="1:6" x14ac:dyDescent="0.25">
      <c r="A286" s="3">
        <v>44805</v>
      </c>
      <c r="B286">
        <v>5.8861808935626297E-3</v>
      </c>
      <c r="C286">
        <f t="shared" si="12"/>
        <v>-8.6023886698072E-4</v>
      </c>
      <c r="D286" t="b">
        <f t="shared" si="13"/>
        <v>0</v>
      </c>
      <c r="E286">
        <v>0</v>
      </c>
      <c r="F286" t="b">
        <f t="shared" si="14"/>
        <v>0</v>
      </c>
    </row>
    <row r="287" spans="1:6" x14ac:dyDescent="0.25">
      <c r="A287" s="3">
        <v>44835</v>
      </c>
      <c r="B287">
        <v>7.2860834382044697E-3</v>
      </c>
      <c r="C287">
        <f t="shared" si="12"/>
        <v>1.3999025446418401E-3</v>
      </c>
      <c r="D287" t="b">
        <f t="shared" si="13"/>
        <v>1</v>
      </c>
      <c r="E287">
        <v>0</v>
      </c>
      <c r="F287" t="b">
        <f t="shared" si="14"/>
        <v>0</v>
      </c>
    </row>
    <row r="288" spans="1:6" x14ac:dyDescent="0.25">
      <c r="A288" s="3">
        <v>44866</v>
      </c>
      <c r="B288">
        <v>1.0341972339403999E-2</v>
      </c>
      <c r="C288">
        <f t="shared" si="12"/>
        <v>3.0558889011995296E-3</v>
      </c>
      <c r="D288" t="b">
        <f t="shared" si="13"/>
        <v>1</v>
      </c>
      <c r="E288">
        <v>0</v>
      </c>
      <c r="F288" t="b">
        <f t="shared" si="14"/>
        <v>0</v>
      </c>
    </row>
    <row r="289" spans="1:6" x14ac:dyDescent="0.25">
      <c r="A289" s="3">
        <v>44896</v>
      </c>
      <c r="B289">
        <v>1.6444877269242899E-2</v>
      </c>
      <c r="C289">
        <f t="shared" si="12"/>
        <v>6.1029049298388996E-3</v>
      </c>
      <c r="D289" t="b">
        <f t="shared" si="13"/>
        <v>1</v>
      </c>
      <c r="E289">
        <v>0</v>
      </c>
      <c r="F289" t="b">
        <f t="shared" si="14"/>
        <v>0</v>
      </c>
    </row>
    <row r="290" spans="1:6" x14ac:dyDescent="0.25">
      <c r="A290" s="3">
        <v>44927</v>
      </c>
      <c r="B290">
        <v>1.46234321454806E-2</v>
      </c>
      <c r="C290">
        <f t="shared" si="12"/>
        <v>-1.8214451237622987E-3</v>
      </c>
      <c r="D290" t="b">
        <f t="shared" si="13"/>
        <v>0</v>
      </c>
      <c r="E290">
        <v>0</v>
      </c>
      <c r="F290" t="b">
        <f t="shared" si="14"/>
        <v>0</v>
      </c>
    </row>
    <row r="291" spans="1:6" x14ac:dyDescent="0.25">
      <c r="A291" s="3">
        <v>44958</v>
      </c>
      <c r="B291">
        <v>5.73636499048291E-3</v>
      </c>
      <c r="C291">
        <f t="shared" si="12"/>
        <v>-8.8870671549976903E-3</v>
      </c>
      <c r="D291" t="b">
        <f t="shared" si="13"/>
        <v>0</v>
      </c>
      <c r="E291">
        <v>0.18421052631578938</v>
      </c>
      <c r="F291" t="b">
        <f t="shared" si="14"/>
        <v>1</v>
      </c>
    </row>
    <row r="292" spans="1:6" x14ac:dyDescent="0.25">
      <c r="A292" s="3">
        <v>44986</v>
      </c>
      <c r="B292">
        <v>1.3380902811244201E-3</v>
      </c>
      <c r="C292">
        <f t="shared" si="12"/>
        <v>-4.3982747093584901E-3</v>
      </c>
      <c r="D292" t="b">
        <f t="shared" si="13"/>
        <v>0</v>
      </c>
      <c r="E292">
        <v>0.2272727272727284</v>
      </c>
      <c r="F292" t="b">
        <f t="shared" si="14"/>
        <v>1</v>
      </c>
    </row>
    <row r="293" spans="1:6" x14ac:dyDescent="0.25">
      <c r="A293" s="3">
        <v>45017</v>
      </c>
      <c r="B293">
        <v>9.0087204091053898E-3</v>
      </c>
      <c r="C293">
        <f t="shared" si="12"/>
        <v>7.6706301279809699E-3</v>
      </c>
      <c r="D293" t="b">
        <f t="shared" si="13"/>
        <v>1</v>
      </c>
      <c r="E293">
        <v>0</v>
      </c>
      <c r="F293" t="b">
        <f t="shared" si="14"/>
        <v>0</v>
      </c>
    </row>
    <row r="294" spans="1:6" x14ac:dyDescent="0.25">
      <c r="A294" s="3">
        <v>45047</v>
      </c>
      <c r="B294">
        <v>8.5527432966197008E-3</v>
      </c>
      <c r="C294">
        <f t="shared" si="12"/>
        <v>-4.5597711248568894E-4</v>
      </c>
      <c r="D294" t="b">
        <f t="shared" si="13"/>
        <v>0</v>
      </c>
      <c r="E294">
        <v>0</v>
      </c>
      <c r="F294" t="b">
        <f t="shared" si="14"/>
        <v>0</v>
      </c>
    </row>
    <row r="295" spans="1:6" x14ac:dyDescent="0.25">
      <c r="A295" s="3">
        <v>45078</v>
      </c>
      <c r="B295">
        <v>1.07283725912293E-2</v>
      </c>
      <c r="C295">
        <f t="shared" si="12"/>
        <v>2.175629294609599E-3</v>
      </c>
      <c r="D295" t="b">
        <f t="shared" si="13"/>
        <v>1</v>
      </c>
      <c r="E295">
        <v>0</v>
      </c>
      <c r="F295" t="b">
        <f t="shared" si="14"/>
        <v>0</v>
      </c>
    </row>
    <row r="296" spans="1:6" x14ac:dyDescent="0.25">
      <c r="A296" s="3">
        <v>45108</v>
      </c>
      <c r="B296">
        <v>8.9112551369536792E-3</v>
      </c>
      <c r="C296">
        <f t="shared" si="12"/>
        <v>-1.8171174542756206E-3</v>
      </c>
      <c r="D296" t="b">
        <f t="shared" si="13"/>
        <v>0</v>
      </c>
      <c r="E296">
        <v>0</v>
      </c>
      <c r="F296" t="b">
        <f t="shared" si="14"/>
        <v>0</v>
      </c>
    </row>
    <row r="297" spans="1:6" x14ac:dyDescent="0.25">
      <c r="A297" s="3">
        <v>45139</v>
      </c>
      <c r="B297">
        <v>1.02861219947785E-2</v>
      </c>
      <c r="C297">
        <f t="shared" si="12"/>
        <v>1.3748668578248205E-3</v>
      </c>
      <c r="D297" t="b">
        <f t="shared" si="13"/>
        <v>1</v>
      </c>
      <c r="E297">
        <v>0</v>
      </c>
      <c r="F297" t="b">
        <f t="shared" si="14"/>
        <v>0</v>
      </c>
    </row>
    <row r="298" spans="1:6" x14ac:dyDescent="0.25">
      <c r="A298" s="3">
        <v>45170</v>
      </c>
      <c r="B298">
        <v>1.6772487823293301E-2</v>
      </c>
      <c r="C298">
        <f t="shared" si="12"/>
        <v>6.486365828514801E-3</v>
      </c>
      <c r="D298" t="b">
        <f t="shared" si="13"/>
        <v>1</v>
      </c>
      <c r="E298">
        <v>0</v>
      </c>
      <c r="F298" t="b">
        <f t="shared" si="14"/>
        <v>0</v>
      </c>
    </row>
    <row r="299" spans="1:6" x14ac:dyDescent="0.25">
      <c r="A299" s="3">
        <v>45200</v>
      </c>
      <c r="B299">
        <v>1.5268728280029E-2</v>
      </c>
      <c r="C299">
        <f t="shared" si="12"/>
        <v>-1.5037595432643002E-3</v>
      </c>
      <c r="D299" t="b">
        <f t="shared" si="13"/>
        <v>0</v>
      </c>
      <c r="E299">
        <v>0</v>
      </c>
      <c r="F299" t="b">
        <f t="shared" si="14"/>
        <v>0</v>
      </c>
    </row>
    <row r="300" spans="1:6" x14ac:dyDescent="0.25">
      <c r="A300" s="3">
        <v>45231</v>
      </c>
      <c r="B300">
        <v>6.18340447905741E-3</v>
      </c>
      <c r="C300">
        <f t="shared" si="12"/>
        <v>-9.0853238009715905E-3</v>
      </c>
      <c r="D300" t="b">
        <f t="shared" si="13"/>
        <v>0</v>
      </c>
      <c r="E300">
        <v>0</v>
      </c>
      <c r="F300" t="b">
        <f t="shared" si="14"/>
        <v>0</v>
      </c>
    </row>
    <row r="301" spans="1:6" x14ac:dyDescent="0.25">
      <c r="A301" s="3">
        <v>45261</v>
      </c>
      <c r="B301">
        <v>8.7747254870747006E-3</v>
      </c>
      <c r="C301">
        <f t="shared" si="12"/>
        <v>2.5913210080172906E-3</v>
      </c>
      <c r="D301" t="b">
        <f t="shared" si="13"/>
        <v>1</v>
      </c>
      <c r="E301">
        <v>0</v>
      </c>
      <c r="F301" t="b">
        <f t="shared" si="14"/>
        <v>0</v>
      </c>
    </row>
    <row r="302" spans="1:6" x14ac:dyDescent="0.25">
      <c r="A302" s="3">
        <v>45292</v>
      </c>
      <c r="B302">
        <v>7.5443574698557097E-3</v>
      </c>
      <c r="C302">
        <f t="shared" si="12"/>
        <v>-1.2303680172189909E-3</v>
      </c>
      <c r="D302" t="b">
        <f t="shared" si="13"/>
        <v>0</v>
      </c>
      <c r="E302">
        <v>0</v>
      </c>
      <c r="F302" t="b">
        <f t="shared" si="14"/>
        <v>0</v>
      </c>
    </row>
    <row r="303" spans="1:6" x14ac:dyDescent="0.25">
      <c r="A303" s="3">
        <v>45323</v>
      </c>
      <c r="B303">
        <v>9.4212729409379799E-3</v>
      </c>
      <c r="C303">
        <f t="shared" si="12"/>
        <v>1.8769154710822702E-3</v>
      </c>
      <c r="D303" t="b">
        <f t="shared" si="13"/>
        <v>1</v>
      </c>
      <c r="E303">
        <v>0</v>
      </c>
      <c r="F303" t="b">
        <f t="shared" si="14"/>
        <v>0</v>
      </c>
    </row>
    <row r="304" spans="1:6" x14ac:dyDescent="0.25">
      <c r="A304" s="3">
        <v>45352</v>
      </c>
      <c r="B304">
        <v>1.06052590713164E-2</v>
      </c>
      <c r="C304">
        <f t="shared" si="12"/>
        <v>1.1839861303784196E-3</v>
      </c>
      <c r="D304" t="b">
        <f t="shared" si="13"/>
        <v>1</v>
      </c>
      <c r="E304">
        <v>0</v>
      </c>
      <c r="F304" t="b">
        <f t="shared" si="14"/>
        <v>0</v>
      </c>
    </row>
    <row r="305" spans="1:6" x14ac:dyDescent="0.25">
      <c r="A305" s="3">
        <v>45383</v>
      </c>
      <c r="B305">
        <v>-3.73264475212931E-3</v>
      </c>
      <c r="C305">
        <f t="shared" si="12"/>
        <v>-1.433790382344571E-2</v>
      </c>
      <c r="D305" t="b">
        <f t="shared" si="13"/>
        <v>0</v>
      </c>
      <c r="E305">
        <v>0</v>
      </c>
      <c r="F305" t="b">
        <f t="shared" si="14"/>
        <v>0</v>
      </c>
    </row>
    <row r="306" spans="1:6" x14ac:dyDescent="0.25">
      <c r="A306" s="3">
        <v>45413</v>
      </c>
      <c r="B306">
        <v>3.14000485655352E-3</v>
      </c>
      <c r="C306">
        <f t="shared" si="12"/>
        <v>6.8726496086828296E-3</v>
      </c>
      <c r="D306" t="b">
        <f t="shared" si="13"/>
        <v>1</v>
      </c>
      <c r="E306">
        <v>0</v>
      </c>
      <c r="F306" t="b">
        <f t="shared" si="14"/>
        <v>0</v>
      </c>
    </row>
    <row r="307" spans="1:6" x14ac:dyDescent="0.25">
      <c r="A307" s="3">
        <v>45444</v>
      </c>
      <c r="B307">
        <v>3.45212206159573E-3</v>
      </c>
      <c r="C307">
        <f t="shared" si="12"/>
        <v>3.1211720504220998E-4</v>
      </c>
      <c r="D307" t="b">
        <f t="shared" si="13"/>
        <v>1</v>
      </c>
      <c r="E307">
        <v>0</v>
      </c>
      <c r="F307" t="b">
        <f t="shared" si="14"/>
        <v>0</v>
      </c>
    </row>
    <row r="308" spans="1:6" x14ac:dyDescent="0.25">
      <c r="A308" s="3">
        <v>45474</v>
      </c>
      <c r="B308">
        <v>1.2309732766975201E-2</v>
      </c>
      <c r="C308">
        <f t="shared" si="12"/>
        <v>8.8576107053794702E-3</v>
      </c>
      <c r="D308" t="b">
        <f t="shared" si="13"/>
        <v>1</v>
      </c>
      <c r="E308">
        <v>0</v>
      </c>
      <c r="F308" t="b">
        <f t="shared" si="14"/>
        <v>0</v>
      </c>
    </row>
    <row r="309" spans="1:6" x14ac:dyDescent="0.25">
      <c r="A309" s="3">
        <v>45505</v>
      </c>
      <c r="B309">
        <v>2.88460774272448E-3</v>
      </c>
      <c r="C309">
        <f t="shared" si="12"/>
        <v>-9.4251250242507207E-3</v>
      </c>
      <c r="D309" t="b">
        <f t="shared" si="13"/>
        <v>0</v>
      </c>
      <c r="E309">
        <v>0</v>
      </c>
      <c r="F309" t="b">
        <f t="shared" si="14"/>
        <v>0</v>
      </c>
    </row>
    <row r="310" spans="1:6" x14ac:dyDescent="0.25">
      <c r="A310" s="3">
        <v>45536</v>
      </c>
      <c r="B310">
        <v>4.3173258109501199E-3</v>
      </c>
      <c r="C310">
        <f t="shared" si="12"/>
        <v>1.4327180682256399E-3</v>
      </c>
      <c r="D310" t="b">
        <f t="shared" si="13"/>
        <v>1</v>
      </c>
      <c r="E310">
        <v>0</v>
      </c>
      <c r="F310" t="b">
        <f t="shared" si="14"/>
        <v>0</v>
      </c>
    </row>
    <row r="311" spans="1:6" x14ac:dyDescent="0.25">
      <c r="A311" s="3">
        <v>45566</v>
      </c>
      <c r="B311">
        <v>-6.2880687245048302E-3</v>
      </c>
      <c r="C311">
        <f t="shared" si="12"/>
        <v>-1.060539453545495E-2</v>
      </c>
      <c r="D311" t="b">
        <f t="shared" si="13"/>
        <v>0</v>
      </c>
      <c r="E311">
        <v>0</v>
      </c>
      <c r="F311" t="b">
        <f t="shared" si="14"/>
        <v>0</v>
      </c>
    </row>
    <row r="312" spans="1:6" x14ac:dyDescent="0.25">
      <c r="A312" s="3">
        <v>45597</v>
      </c>
      <c r="B312">
        <v>-2.52799141912163E-3</v>
      </c>
      <c r="C312">
        <f t="shared" si="12"/>
        <v>3.7600773053832002E-3</v>
      </c>
      <c r="D312" t="b">
        <f t="shared" si="13"/>
        <v>1</v>
      </c>
      <c r="E312">
        <v>0</v>
      </c>
      <c r="F312" t="b">
        <f t="shared" si="14"/>
        <v>0</v>
      </c>
    </row>
    <row r="313" spans="1:6" x14ac:dyDescent="0.25">
      <c r="A313" s="3">
        <v>45627</v>
      </c>
      <c r="B313">
        <v>-1.2775075739505801E-2</v>
      </c>
      <c r="C313">
        <f t="shared" si="12"/>
        <v>-1.0247084320384171E-2</v>
      </c>
      <c r="D313" t="b">
        <f t="shared" si="13"/>
        <v>0</v>
      </c>
      <c r="E313">
        <v>0</v>
      </c>
      <c r="F313" t="b">
        <f t="shared" si="14"/>
        <v>0</v>
      </c>
    </row>
    <row r="314" spans="1:6" x14ac:dyDescent="0.25">
      <c r="A314" s="3">
        <v>45658</v>
      </c>
      <c r="B314">
        <v>-6.3336248568655103E-3</v>
      </c>
      <c r="C314">
        <f t="shared" si="12"/>
        <v>6.4414508826402903E-3</v>
      </c>
      <c r="D314" t="b">
        <f t="shared" si="13"/>
        <v>1</v>
      </c>
      <c r="E314">
        <v>0</v>
      </c>
      <c r="F314" t="b">
        <f t="shared" si="14"/>
        <v>0</v>
      </c>
    </row>
    <row r="315" spans="1:6" x14ac:dyDescent="0.25">
      <c r="A315" s="3">
        <v>45689</v>
      </c>
      <c r="B315">
        <v>2.2487069160410699E-3</v>
      </c>
      <c r="C315">
        <f t="shared" si="12"/>
        <v>8.5823317729065811E-3</v>
      </c>
      <c r="D315" t="b">
        <f t="shared" si="13"/>
        <v>1</v>
      </c>
      <c r="E315">
        <v>0</v>
      </c>
      <c r="F315" t="b">
        <f t="shared" si="14"/>
        <v>0</v>
      </c>
    </row>
    <row r="316" spans="1:6" x14ac:dyDescent="0.25">
      <c r="A316" s="3">
        <v>45717</v>
      </c>
      <c r="B316">
        <v>-1.5104078818630701E-3</v>
      </c>
      <c r="C316">
        <f t="shared" si="12"/>
        <v>-3.7591147979041399E-3</v>
      </c>
      <c r="D316" t="b">
        <f t="shared" si="13"/>
        <v>0</v>
      </c>
      <c r="E316">
        <v>0</v>
      </c>
      <c r="F316" t="b">
        <f t="shared" si="14"/>
        <v>0</v>
      </c>
    </row>
    <row r="317" spans="1:6" x14ac:dyDescent="0.25">
      <c r="A317" s="3">
        <v>45748</v>
      </c>
      <c r="B317">
        <v>-5.1523407273785802E-3</v>
      </c>
      <c r="C317">
        <f t="shared" si="12"/>
        <v>-3.6419328455155101E-3</v>
      </c>
      <c r="D317" t="b">
        <f t="shared" si="13"/>
        <v>0</v>
      </c>
      <c r="E317">
        <v>0</v>
      </c>
      <c r="F317" t="b">
        <f t="shared" si="14"/>
        <v>0</v>
      </c>
    </row>
    <row r="318" spans="1:6" x14ac:dyDescent="0.25">
      <c r="A318" s="3">
        <v>45778</v>
      </c>
      <c r="B318">
        <v>-4.0658202113839099E-3</v>
      </c>
      <c r="C318">
        <f t="shared" si="12"/>
        <v>1.0865205159946703E-3</v>
      </c>
      <c r="D318" t="b">
        <f t="shared" si="13"/>
        <v>1</v>
      </c>
      <c r="E318">
        <v>0</v>
      </c>
      <c r="F318" t="b">
        <f t="shared" si="14"/>
        <v>0</v>
      </c>
    </row>
    <row r="319" spans="1:6" x14ac:dyDescent="0.25">
      <c r="A319" s="3">
        <v>45809</v>
      </c>
      <c r="B319">
        <v>-3.1919257377603901E-3</v>
      </c>
      <c r="C319">
        <f t="shared" si="12"/>
        <v>8.738944736235198E-4</v>
      </c>
      <c r="D319" t="b">
        <f t="shared" si="13"/>
        <v>1</v>
      </c>
      <c r="E319">
        <v>0</v>
      </c>
      <c r="F319" t="b">
        <f t="shared" si="14"/>
        <v>0</v>
      </c>
    </row>
    <row r="320" spans="1:6" x14ac:dyDescent="0.25">
      <c r="A320" s="3">
        <v>45839</v>
      </c>
      <c r="B320">
        <v>-9.4937491985742604E-3</v>
      </c>
      <c r="C320">
        <f t="shared" si="12"/>
        <v>-6.3018234608138704E-3</v>
      </c>
      <c r="D320" t="b">
        <f t="shared" si="13"/>
        <v>0</v>
      </c>
      <c r="E320">
        <v>0</v>
      </c>
      <c r="F320" t="b">
        <f t="shared" si="14"/>
        <v>0</v>
      </c>
    </row>
    <row r="321" spans="1:6" x14ac:dyDescent="0.25">
      <c r="A321" s="3">
        <v>45870</v>
      </c>
      <c r="B321">
        <v>-5.5342304324090801E-3</v>
      </c>
      <c r="C321">
        <f t="shared" si="12"/>
        <v>3.9595187661651803E-3</v>
      </c>
      <c r="D321" t="b">
        <f t="shared" si="13"/>
        <v>1</v>
      </c>
      <c r="E321">
        <v>0</v>
      </c>
      <c r="F321" t="b">
        <f t="shared" si="14"/>
        <v>0</v>
      </c>
    </row>
    <row r="322" spans="1:6" x14ac:dyDescent="0.25">
      <c r="A322" s="3">
        <v>45901</v>
      </c>
      <c r="B322">
        <v>-1.0690509605866301E-2</v>
      </c>
      <c r="C322">
        <f t="shared" si="12"/>
        <v>-5.1562791734572205E-3</v>
      </c>
      <c r="D322" t="b">
        <f t="shared" si="13"/>
        <v>0</v>
      </c>
      <c r="E322">
        <v>0</v>
      </c>
      <c r="F322" t="b">
        <f t="shared" si="14"/>
        <v>0</v>
      </c>
    </row>
    <row r="323" spans="1:6" x14ac:dyDescent="0.25">
      <c r="A323" s="3">
        <v>45931</v>
      </c>
      <c r="B323">
        <v>-1.7265864583286799E-3</v>
      </c>
      <c r="C323">
        <f t="shared" si="12"/>
        <v>8.9639231475376214E-3</v>
      </c>
      <c r="D323" t="b">
        <f t="shared" si="13"/>
        <v>1</v>
      </c>
      <c r="E323">
        <v>0</v>
      </c>
      <c r="F323" t="b">
        <f t="shared" si="14"/>
        <v>0</v>
      </c>
    </row>
    <row r="324" spans="1:6" x14ac:dyDescent="0.25">
      <c r="A324" s="3">
        <v>45962</v>
      </c>
      <c r="B324">
        <v>-3.3642267975739801E-3</v>
      </c>
      <c r="C324">
        <f t="shared" ref="C324:C330" si="15">B324-B323</f>
        <v>-1.6376403392453001E-3</v>
      </c>
      <c r="D324" t="b">
        <f t="shared" ref="D324:D330" si="16">IF(C324&gt;0,TRUE)</f>
        <v>0</v>
      </c>
      <c r="E324">
        <v>0</v>
      </c>
      <c r="F324" t="b">
        <f t="shared" ref="F324:F330" si="17">IF(E324&gt;0, TRUE)</f>
        <v>0</v>
      </c>
    </row>
    <row r="325" spans="1:6" x14ac:dyDescent="0.25">
      <c r="A325" s="3">
        <v>45992</v>
      </c>
      <c r="B325">
        <v>-2.1119820161974399E-4</v>
      </c>
      <c r="C325">
        <f t="shared" si="15"/>
        <v>3.153028595954236E-3</v>
      </c>
      <c r="D325" t="b">
        <f t="shared" si="16"/>
        <v>1</v>
      </c>
      <c r="E325">
        <v>0</v>
      </c>
      <c r="F325" t="b">
        <f t="shared" si="17"/>
        <v>0</v>
      </c>
    </row>
    <row r="326" spans="1:6" x14ac:dyDescent="0.25">
      <c r="A326" s="3">
        <v>46023</v>
      </c>
      <c r="B326">
        <v>-1.11384783178847E-2</v>
      </c>
      <c r="C326">
        <f t="shared" si="15"/>
        <v>-1.0927280116264955E-2</v>
      </c>
      <c r="D326" t="b">
        <f t="shared" si="16"/>
        <v>0</v>
      </c>
      <c r="E326">
        <v>0</v>
      </c>
      <c r="F326" t="b">
        <f t="shared" si="17"/>
        <v>0</v>
      </c>
    </row>
    <row r="327" spans="1:6" x14ac:dyDescent="0.25">
      <c r="A327" s="3">
        <v>46054</v>
      </c>
      <c r="B327">
        <v>-9.1157156053274201E-3</v>
      </c>
      <c r="C327">
        <f t="shared" si="15"/>
        <v>2.0227627125572797E-3</v>
      </c>
      <c r="D327" t="b">
        <f t="shared" si="16"/>
        <v>1</v>
      </c>
      <c r="E327">
        <v>0</v>
      </c>
      <c r="F327" t="b">
        <f t="shared" si="17"/>
        <v>0</v>
      </c>
    </row>
    <row r="328" spans="1:6" x14ac:dyDescent="0.25">
      <c r="A328" s="3">
        <v>46082</v>
      </c>
      <c r="B328">
        <v>-5.0562593778886696E-3</v>
      </c>
      <c r="C328">
        <f t="shared" si="15"/>
        <v>4.0594562274387505E-3</v>
      </c>
      <c r="D328" t="b">
        <f t="shared" si="16"/>
        <v>1</v>
      </c>
      <c r="E328">
        <v>-4.761904761904745E-2</v>
      </c>
      <c r="F328" t="b">
        <f t="shared" si="17"/>
        <v>0</v>
      </c>
    </row>
    <row r="329" spans="1:6" x14ac:dyDescent="0.25">
      <c r="A329" s="3">
        <v>46113</v>
      </c>
      <c r="B329">
        <v>1.04687549197209E-2</v>
      </c>
      <c r="C329">
        <f t="shared" si="15"/>
        <v>1.5525014297609569E-2</v>
      </c>
      <c r="D329" t="b">
        <f t="shared" si="16"/>
        <v>1</v>
      </c>
      <c r="E329">
        <v>-0.25</v>
      </c>
      <c r="F329" t="b">
        <f t="shared" si="17"/>
        <v>0</v>
      </c>
    </row>
    <row r="330" spans="1:6" x14ac:dyDescent="0.25">
      <c r="A330" s="3">
        <v>46143</v>
      </c>
      <c r="B330">
        <v>5.2391426935214404E-3</v>
      </c>
      <c r="C330">
        <f t="shared" si="15"/>
        <v>-5.22961222619946E-3</v>
      </c>
      <c r="D330" t="b">
        <f t="shared" si="16"/>
        <v>0</v>
      </c>
      <c r="E330">
        <v>-3.7500000000000533E-2</v>
      </c>
      <c r="F330" t="b">
        <f t="shared" si="17"/>
        <v>0</v>
      </c>
    </row>
  </sheetData>
  <autoFilter ref="A1:F330" xr:uid="{267AC77B-B903-48F1-A2E0-3B0616706D8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García Rodríguez Luis Armando</cp:lastModifiedBy>
  <dcterms:created xsi:type="dcterms:W3CDTF">2026-09-08T16:16:40Z</dcterms:created>
  <dcterms:modified xsi:type="dcterms:W3CDTF">2026-09-25T20:05:59Z</dcterms:modified>
</cp:coreProperties>
</file>